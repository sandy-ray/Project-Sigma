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bdfc0fb2be42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61d20e4c022448f"/>
    <x:sheet xmlns:r="http://schemas.openxmlformats.org/officeDocument/2006/relationships" name="Deal_Summary" sheetId="2" r:id="R71815779ff114386"/>
    <x:sheet xmlns:r="http://schemas.openxmlformats.org/officeDocument/2006/relationships" name="Tenants" sheetId="3" r:id="Rc0f7b85f144340fa"/>
    <x:sheet xmlns:r="http://schemas.openxmlformats.org/officeDocument/2006/relationships" name="Lease_Terms" sheetId="4" r:id="R42b7ebfbd857433a"/>
    <x:sheet xmlns:r="http://schemas.openxmlformats.org/officeDocument/2006/relationships" name="Operating_History" sheetId="5" r:id="Rd206ba8130054148"/>
    <x:sheet xmlns:r="http://schemas.openxmlformats.org/officeDocument/2006/relationships" name="SPE_Financials" sheetId="6" r:id="R61471ab4ef93410e"/>
    <x:sheet xmlns:r="http://schemas.openxmlformats.org/officeDocument/2006/relationships" name="Debt_Schedule" sheetId="7" r:id="R57f97a069253418a"/>
    <x:sheet xmlns:r="http://schemas.openxmlformats.org/officeDocument/2006/relationships" name="Loan_Terms" sheetId="8" r:id="Rfdc399c53ef44859"/>
    <x:sheet xmlns:r="http://schemas.openxmlformats.org/officeDocument/2006/relationships" name="Appraisal" sheetId="9" r:id="Rdb5444cf7c7343d4"/>
    <x:sheet xmlns:r="http://schemas.openxmlformats.org/officeDocument/2006/relationships" name="Covenant_Calc" sheetId="10" r:id="Rc447c3a81a3f49f2"/>
    <x:sheet xmlns:r="http://schemas.openxmlformats.org/officeDocument/2006/relationships" name="Discrepancy_Matrix" sheetId="11" r:id="Raed643a80ade4da5"/>
    <x:sheet xmlns:r="http://schemas.openxmlformats.org/officeDocument/2006/relationships" name="Source_Hierarchy" sheetId="12" r:id="Re17356d7acaf4f6d"/>
    <x:sheet xmlns:r="http://schemas.openxmlformats.org/officeDocument/2006/relationships" name="Document_Manifest" sheetId="13" r:id="Rcde623a991bb471a"/>
    <x:sheet xmlns:r="http://schemas.openxmlformats.org/officeDocument/2006/relationships" name="Fact_Crosswalk" sheetId="14" r:id="R413bc453b2e04b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mm/dd/yyyy"/>
    <x:numFmt numFmtId="201" formatCode="0.0%"/>
    <x:numFmt numFmtId="202" formatCode="$#,##0;[Red]($#,##0);-"/>
    <x:numFmt numFmtId="203" formatCode="0.00x"/>
    <x:numFmt numFmtId="204" formatCode="$0.00"/>
    <x:numFmt numFmtId="205" formatCode="#,##0;[Red](#,##0);-"/>
    <x:numFmt numFmtId="206" formatCode="@"/>
    <x:numFmt numFmtId="207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10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2" fillId="0" borderId="0" xfId="0" applyNumberFormat="1" applyFont="1" applyFill="1" applyBorder="1"/>
    <x:xf numFmtId="205" fontId="2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202" fontId="2" fillId="0" borderId="0" xfId="0" applyNumberFormat="1" applyFont="1" applyFill="1" applyBorder="1"/>
    <x:xf numFmtId="202" fontId="2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5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5" fontId="2" fillId="0" borderId="1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2" fontId="2" fillId="0" borderId="1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4" fontId="0" fillId="5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4" fontId="0" fillId="5" borderId="1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202" fontId="3" fillId="2" borderId="0" xfId="0" applyNumberFormat="1" applyFont="1" applyFill="1" applyBorder="1" applyAlignment="1">
      <x:alignment horizontal="center" vertical="center" wrapText="1"/>
    </x:xf>
    <x:xf numFmtId="202" fontId="3" fillId="2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202" fontId="0" fillId="4" borderId="0" xfId="0" applyNumberFormat="1" applyFont="1" applyFill="1" applyBorder="1" applyAlignment="1">
      <x:alignment wrapText="1"/>
    </x:xf>
    <x:xf numFmtId="202" fontId="0" fillId="4" borderId="1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6" fontId="0" fillId="0" borderId="0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  <x:xf numFmtId="203" fontId="0" fillId="4" borderId="0" xfId="0" applyNumberFormat="1" applyFont="1" applyFill="1" applyBorder="1" applyAlignment="1">
      <x:alignment wrapText="1"/>
    </x:xf>
    <x:xf numFmtId="206" fontId="0" fillId="4" borderId="0" xfId="0" applyNumberFormat="1" applyFont="1" applyFill="1" applyBorder="1" applyAlignment="1">
      <x:alignment wrapText="1"/>
    </x:xf>
    <x:xf numFmtId="203" fontId="0" fillId="4" borderId="1" xfId="0" applyNumberFormat="1" applyFont="1" applyFill="1" applyBorder="1" applyAlignment="1">
      <x:alignment wrapText="1"/>
    </x:xf>
    <x:xf numFmtId="206" fontId="0" fillId="4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207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cc380498514608" /><Relationship Type="http://schemas.openxmlformats.org/officeDocument/2006/relationships/theme" Target="/xl/theme/theme1.xml" Id="Rf7d4ecd907dd4d90" /><Relationship Type="http://schemas.openxmlformats.org/officeDocument/2006/relationships/sharedStrings" Target="/xl/sharedStrings.xml" Id="R656eb78c4a2c4025" /><Relationship Type="http://schemas.openxmlformats.org/officeDocument/2006/relationships/worksheet" Target="/xl/worksheets/sheet1.xml" Id="R161d20e4c022448f" /><Relationship Type="http://schemas.openxmlformats.org/officeDocument/2006/relationships/worksheet" Target="/xl/worksheets/sheet2.xml" Id="R71815779ff114386" /><Relationship Type="http://schemas.openxmlformats.org/officeDocument/2006/relationships/worksheet" Target="/xl/worksheets/sheet3.xml" Id="Rc0f7b85f144340fa" /><Relationship Type="http://schemas.openxmlformats.org/officeDocument/2006/relationships/worksheet" Target="/xl/worksheets/sheet4.xml" Id="R42b7ebfbd857433a" /><Relationship Type="http://schemas.openxmlformats.org/officeDocument/2006/relationships/worksheet" Target="/xl/worksheets/sheet5.xml" Id="Rd206ba8130054148" /><Relationship Type="http://schemas.openxmlformats.org/officeDocument/2006/relationships/worksheet" Target="/xl/worksheets/sheet6.xml" Id="R61471ab4ef93410e" /><Relationship Type="http://schemas.openxmlformats.org/officeDocument/2006/relationships/worksheet" Target="/xl/worksheets/sheet7.xml" Id="R57f97a069253418a" /><Relationship Type="http://schemas.openxmlformats.org/officeDocument/2006/relationships/worksheet" Target="/xl/worksheets/sheet8.xml" Id="Rfdc399c53ef44859" /><Relationship Type="http://schemas.openxmlformats.org/officeDocument/2006/relationships/worksheet" Target="/xl/worksheets/sheet9.xml" Id="Rdb5444cf7c7343d4" /><Relationship Type="http://schemas.openxmlformats.org/officeDocument/2006/relationships/worksheet" Target="/xl/worksheets/sheet10.xml" Id="Rc447c3a81a3f49f2" /><Relationship Type="http://schemas.openxmlformats.org/officeDocument/2006/relationships/worksheet" Target="/xl/worksheets/sheet11.xml" Id="Raed643a80ade4da5" /><Relationship Type="http://schemas.openxmlformats.org/officeDocument/2006/relationships/worksheet" Target="/xl/worksheets/sheet12.xml" Id="Re17356d7acaf4f6d" /><Relationship Type="http://schemas.openxmlformats.org/officeDocument/2006/relationships/worksheet" Target="/xl/worksheets/sheet13.xml" Id="Rcde623a991bb471a" /><Relationship Type="http://schemas.openxmlformats.org/officeDocument/2006/relationships/worksheet" Target="/xl/worksheets/sheet14.xml" Id="R413bc453b2e04b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5" t="str">
        <x:v>Cedar Grove Marketplace — CRE Canonical Truth Model</x:v>
      </x:c>
      <x:c r="B1" s="5"/>
      <x:c r="C1" s="5"/>
      <x:c r="D1" s="5"/>
      <x:c r="E1" s="5"/>
      <x:c r="F1" s="5"/>
      <x:c r="G1" s="5"/>
      <x:c r="H1" s="5"/>
    </x:row>
    <x:row r="3">
      <x:c r="A3" s="10" t="str">
        <x:v>Purpose</x:v>
      </x:c>
      <x:c r="B3" s="12" t="str">
        <x:v>Synthetic, realistic CRE refinance/renewal test case for validating Eridant extraction, reconciliation, policy reasoning, discrepancy prioritization, and false-positive suppression.</x:v>
      </x:c>
    </x:row>
    <x:row r="4">
      <x:c r="A4" s="10" t="str">
        <x:v>Scenario date</x:v>
      </x:c>
      <x:c r="B4" s="14" t="n">
        <x:v>46280</x:v>
      </x:c>
    </x:row>
    <x:row r="5">
      <x:c r="A5" s="10" t="str">
        <x:v>Borrower</x:v>
      </x:c>
      <x:c r="B5" s="12" t="str">
        <x:v>Cedar Grove Marketplace LLC</x:v>
      </x:c>
    </x:row>
    <x:row r="6">
      <x:c r="A6" s="10" t="str">
        <x:v>Property</x:v>
      </x:c>
      <x:c r="B6" s="12" t="str">
        <x:v>Cedar Grove Marketplace — fictitious grocery-anchored neighborhood retail center in suburban Dallas/Fort Worth, Texas.</x:v>
      </x:c>
    </x:row>
    <x:row r="7">
      <x:c r="A7" s="10" t="str">
        <x:v>Core design rule</x:v>
      </x:c>
      <x:c r="B7" s="12" t="str">
        <x:v>Every apparent discrepancy is intentional. The canonical model is the hidden ground truth; borrower-facing documents may be stale, incomplete, differently dated, or definitionally different.</x:v>
      </x:c>
    </x:row>
    <x:row r="8">
      <x:c r="A8" s="10" t="str">
        <x:v>Demo objective</x:v>
      </x:c>
      <x:c r="B8" s="12" t="str">
        <x:v>Eridant should distinguish benign differences from review-worthy exceptions and from material issues that alter covenant compliance or credit risk.</x:v>
      </x:c>
    </x:row>
    <x:row r="9">
      <x:c r="A9" s="10" t="str">
        <x:v>Public-domain grounding</x:v>
      </x:c>
      <x:c r="B9" s="12" t="str">
        <x:v>SEC CMBS agreed-upon-procedures and prospectus materials; SEC-filed CRE loan agreements. See Source_Hierarchy sheet.</x:v>
      </x:c>
    </x:row>
    <x:row r="10">
      <x:c r="A10" s="10" t="str">
        <x:v>Important</x:v>
      </x:c>
      <x:c r="B10" s="12" t="str">
        <x:v>All names, addresses, tenants, sponsor identities, financial values, and loan economics in this workbook are fictitious unless explicitly identified as public-source methodology.</x:v>
      </x:c>
    </x:row>
    <x:row r="12">
      <x:c r="A12" s="19" t="str">
        <x:v>Model navigation</x:v>
      </x:c>
      <x:c r="B12" s="19"/>
      <x:c r="C12" s="19"/>
      <x:c r="D12" s="19"/>
      <x:c r="E12" s="19"/>
      <x:c r="F12" s="19"/>
      <x:c r="G12" s="19"/>
      <x:c r="H12" s="19"/>
    </x:row>
    <x:row r="13">
      <x:c r="A13" s="27" t="str">
        <x:v>Sheet</x:v>
      </x:c>
      <x:c r="B13" s="27" t="str">
        <x:v>What it contains</x:v>
      </x:c>
    </x:row>
    <x:row r="14">
      <x:c r="A14" s="12" t="str">
        <x:v>Deal_Summary</x:v>
      </x:c>
      <x:c r="B14" s="12" t="str">
        <x:v>Core deal facts and calculated headline metrics.</x:v>
      </x:c>
    </x:row>
    <x:row r="15">
      <x:c r="A15" s="12" t="str">
        <x:v>Tenants</x:v>
      </x:c>
      <x:c r="B15" s="12" t="str">
        <x:v>Current tenant roster, occupancy, current contractual rents, and rent-roll representations.</x:v>
      </x:c>
    </x:row>
    <x:row r="16">
      <x:c r="A16" s="12" t="str">
        <x:v>Lease_Terms</x:v>
      </x:c>
      <x:c r="B16" s="12" t="str">
        <x:v>Lease-level legal terms, amendments, termination/renewal rights, and authoritative dates.</x:v>
      </x:c>
    </x:row>
    <x:row r="17">
      <x:c r="A17" s="12" t="str">
        <x:v>Operating_History</x:v>
      </x:c>
      <x:c r="B17" s="12" t="str">
        <x:v>2023–TTM Aug-2026 property operating statements and trend metrics.</x:v>
      </x:c>
    </x:row>
    <x:row r="18">
      <x:c r="A18" s="12" t="str">
        <x:v>SPE_Financials</x:v>
      </x:c>
      <x:c r="B18" s="12" t="str">
        <x:v>Borrower/SPE balance sheet and income statement facts.</x:v>
      </x:c>
    </x:row>
    <x:row r="19">
      <x:c r="A19" s="12" t="str">
        <x:v>Debt_Schedule</x:v>
      </x:c>
      <x:c r="B19" s="12" t="str">
        <x:v>Borrower-submitted debt schedule plus canonical debt obligations.</x:v>
      </x:c>
    </x:row>
    <x:row r="20">
      <x:c r="A20" s="12" t="str">
        <x:v>Loan_Terms</x:v>
      </x:c>
      <x:c r="B20" s="12" t="str">
        <x:v>Existing/proposed loan economics, reporting covenants, and financial covenant definitions.</x:v>
      </x:c>
    </x:row>
    <x:row r="21">
      <x:c r="A21" s="12" t="str">
        <x:v>Appraisal</x:v>
      </x:c>
      <x:c r="B21" s="12" t="str">
        <x:v>Stale appraisal assumptions and valuation facts.</x:v>
      </x:c>
    </x:row>
    <x:row r="22">
      <x:c r="A22" s="12" t="str">
        <x:v>Covenant_Calc</x:v>
      </x:c>
      <x:c r="B22" s="12" t="str">
        <x:v>Borrower-reported vs lender-definition covenant calculation.</x:v>
      </x:c>
    </x:row>
    <x:row r="23">
      <x:c r="A23" s="12" t="str">
        <x:v>Discrepancy_Matrix</x:v>
      </x:c>
      <x:c r="B23" s="12" t="str">
        <x:v>Known planted issues, severity, source conflict, and expected Eridant behavior.</x:v>
      </x:c>
    </x:row>
    <x:row r="24">
      <x:c r="A24" s="12" t="str">
        <x:v>Source_Hierarchy</x:v>
      </x:c>
      <x:c r="B24" s="12" t="str">
        <x:v>Fact-by-fact source-of-truth rules and public methodology sources.</x:v>
      </x:c>
    </x:row>
    <x:row r="25">
      <x:c r="A25" s="12" t="str">
        <x:v>Document_Manifest</x:v>
      </x:c>
      <x:c r="B25" s="12" t="str">
        <x:v>Documents to generate later, dates, ownership, and planted issues.</x:v>
      </x:c>
    </x:row>
    <x:row r="26">
      <x:c r="A26" s="12" t="str">
        <x:v>Fact_Crosswalk</x:v>
      </x:c>
      <x:c r="B26" s="12" t="str">
        <x:v>Canonical fact IDs mapped to the documents in which each fact appears.</x:v>
      </x:c>
    </x:row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8" hidden="0" customWidth="1"/>
    <x:col min="3" max="3" width="18" hidden="0" customWidth="1"/>
    <x:col min="4" max="4" width="45" hidden="0" customWidth="1"/>
  </x:cols>
  <x:sheetData>
    <x:row r="1" ht="28" customHeight="1">
      <x:c r="A1" s="5" t="str">
        <x:v>Canonical Deal Summary</x:v>
      </x:c>
      <x:c r="B1" s="5"/>
      <x:c r="C1" s="5"/>
      <x:c r="D1" s="5"/>
      <x:c r="E1" s="5"/>
      <x:c r="F1" s="5"/>
      <x:c r="G1" s="5"/>
      <x:c r="H1" s="5"/>
    </x:row>
    <x:row r="3">
      <x:c r="A3" s="27" t="str">
        <x:v>Field</x:v>
      </x:c>
      <x:c r="B3" s="27" t="str">
        <x:v>Canonical Value</x:v>
      </x:c>
      <x:c r="C3" s="27" t="str">
        <x:v>Units / Notes</x:v>
      </x:c>
      <x:c r="D3" s="27" t="str">
        <x:v>Authority / Basis</x:v>
      </x:c>
    </x:row>
    <x:row r="4">
      <x:c r="A4" s="12" t="str">
        <x:v>As-of date</x:v>
      </x:c>
      <x:c r="B4" s="14" t="n">
        <x:v>46280</x:v>
      </x:c>
      <x:c r="C4" s="12" t="str"/>
      <x:c r="D4" s="12" t="str">
        <x:v>Canonical model</x:v>
      </x:c>
    </x:row>
    <x:row r="5">
      <x:c r="A5" s="12" t="str">
        <x:v>Property name</x:v>
      </x:c>
      <x:c r="B5" s="12" t="str">
        <x:v>Cedar Grove Marketplace</x:v>
      </x:c>
      <x:c r="C5" s="12" t="str"/>
      <x:c r="D5" s="12" t="str">
        <x:v>Synthetic</x:v>
      </x:c>
    </x:row>
    <x:row r="6">
      <x:c r="A6" s="12" t="str">
        <x:v>Property type</x:v>
      </x:c>
      <x:c r="B6" s="12" t="str">
        <x:v>Grocery-anchored neighborhood retail</x:v>
      </x:c>
      <x:c r="C6" s="12" t="str"/>
      <x:c r="D6" s="12" t="str">
        <x:v>Synthetic</x:v>
      </x:c>
    </x:row>
    <x:row r="7">
      <x:c r="A7" s="12" t="str">
        <x:v>Market</x:v>
      </x:c>
      <x:c r="B7" s="12" t="str">
        <x:v>Suburban Dallas/Fort Worth, Texas</x:v>
      </x:c>
      <x:c r="C7" s="12" t="str"/>
      <x:c r="D7" s="12" t="str">
        <x:v>Synthetic</x:v>
      </x:c>
    </x:row>
    <x:row r="8">
      <x:c r="A8" s="12" t="str">
        <x:v>Year built / renovated</x:v>
      </x:c>
      <x:c r="B8" s="12" t="str">
        <x:v>2008 / 2019</x:v>
      </x:c>
      <x:c r="C8" s="12" t="str"/>
      <x:c r="D8" s="12" t="str">
        <x:v>Synthetic</x:v>
      </x:c>
    </x:row>
    <x:row r="9">
      <x:c r="A9" s="12" t="str">
        <x:v>Gross leasable area</x:v>
      </x:c>
      <x:c r="B9" s="102" t="n">
        <x:v>96400</x:v>
      </x:c>
      <x:c r="C9" s="12" t="str">
        <x:v>SF</x:v>
      </x:c>
      <x:c r="D9" s="12" t="str">
        <x:v>Tenant roster / leases</x:v>
      </x:c>
    </x:row>
    <x:row r="10">
      <x:c r="A10" s="12" t="str">
        <x:v>Occupied area</x:v>
      </x:c>
      <x:c r="B10" s="102" t="n">
        <x:f>SUM(Tenants!$D$4:$D$19)</x:f>
        <x:v>88800</x:v>
      </x:c>
      <x:c r="C10" s="12" t="str">
        <x:v>SF</x:v>
      </x:c>
      <x:c r="D10" s="12" t="str">
        <x:v>Current rent roll reconciled to leases</x:v>
      </x:c>
    </x:row>
    <x:row r="11">
      <x:c r="A11" s="12" t="str">
        <x:v>Physical occupancy</x:v>
      </x:c>
      <x:c r="B11" s="40" t="n">
        <x:f>B10/B9</x:f>
        <x:v>0.921161825726141</x:v>
      </x:c>
      <x:c r="C11" s="12" t="str">
        <x:v>%</x:v>
      </x:c>
      <x:c r="D11" s="12" t="str">
        <x:v>Occupied SF / GLA</x:v>
      </x:c>
    </x:row>
    <x:row r="12">
      <x:c r="A12" s="12" t="str">
        <x:v>Number of occupied tenants</x:v>
      </x:c>
      <x:c r="B12" s="102" t="n">
        <x:f>COUNTA(Tenants!$B$4:$B$19)</x:f>
        <x:v>16</x:v>
      </x:c>
      <x:c r="C12" s="12" t="str"/>
      <x:c r="D12" s="12" t="str">
        <x:v>Current rent roll</x:v>
      </x:c>
    </x:row>
    <x:row r="13">
      <x:c r="A13" s="12" t="str">
        <x:v>Vacant suites</x:v>
      </x:c>
      <x:c r="B13" s="102" t="n">
        <x:v>2</x:v>
      </x:c>
      <x:c r="C13" s="12" t="str"/>
      <x:c r="D13" s="12" t="str">
        <x:v>Current rent roll</x:v>
      </x:c>
    </x:row>
    <x:row r="14">
      <x:c r="A14" s="12" t="str">
        <x:v>Borrower</x:v>
      </x:c>
      <x:c r="B14" s="12" t="str">
        <x:v>Cedar Grove Marketplace LLC</x:v>
      </x:c>
      <x:c r="C14" s="12" t="str"/>
      <x:c r="D14" s="12" t="str">
        <x:v>Organizational / loan docs</x:v>
      </x:c>
    </x:row>
    <x:row r="15">
      <x:c r="A15" s="12" t="str">
        <x:v>Sponsor / guarantor</x:v>
      </x:c>
      <x:c r="B15" s="12" t="str">
        <x:v>Redwood Creek Real Estate Holdings LLC</x:v>
      </x:c>
      <x:c r="C15" s="12" t="str"/>
      <x:c r="D15" s="12" t="str">
        <x:v>Synthetic</x:v>
      </x:c>
    </x:row>
    <x:row r="16">
      <x:c r="A16" s="12" t="str">
        <x:v>Existing lender</x:v>
      </x:c>
      <x:c r="B16" s="41" t="str">
        <x:v>TriState Capital Bank</x:v>
      </x:c>
      <x:c r="C16" s="12" t="str"/>
      <x:c r="D16" s="12" t="str">
        <x:v>Synthetic</x:v>
      </x:c>
    </x:row>
    <x:row r="17">
      <x:c r="A17" s="12" t="str">
        <x:v>Existing loan current balance</x:v>
      </x:c>
      <x:c r="B17" s="41" t="n">
        <x:f>SPE_Financials!$B$14</x:f>
        <x:v>11120000</x:v>
      </x:c>
      <x:c r="C17" s="12" t="str">
        <x:v>$</x:v>
      </x:c>
      <x:c r="D17" s="12" t="str">
        <x:v>8/31/26 SPE balance sheet / servicer</x:v>
      </x:c>
    </x:row>
    <x:row r="18">
      <x:c r="A18" s="12" t="str">
        <x:v>Requested refinance amount</x:v>
      </x:c>
      <x:c r="B18" s="41" t="n">
        <x:v>12000000</x:v>
      </x:c>
      <x:c r="C18" s="12" t="str">
        <x:v>$</x:v>
      </x:c>
      <x:c r="D18" s="12" t="str">
        <x:v>Borrower request</x:v>
      </x:c>
    </x:row>
    <x:row r="19">
      <x:c r="A19" s="12" t="str">
        <x:v>Proposed fixed rate</x:v>
      </x:c>
      <x:c r="B19" s="40" t="n">
        <x:v>0.0725</x:v>
      </x:c>
      <x:c r="C19" s="12" t="str">
        <x:v>%</x:v>
      </x:c>
      <x:c r="D19" s="12" t="str">
        <x:v>Proposed term sheet</x:v>
      </x:c>
    </x:row>
    <x:row r="20">
      <x:c r="A20" s="12" t="str">
        <x:v>Proposed amortization</x:v>
      </x:c>
      <x:c r="B20" s="104" t="n">
        <x:v>15</x:v>
      </x:c>
      <x:c r="C20" s="12" t="str">
        <x:v>Years</x:v>
      </x:c>
      <x:c r="D20" s="12" t="str">
        <x:v>Proposed term sheet</x:v>
      </x:c>
    </x:row>
    <x:row r="21">
      <x:c r="A21" s="12" t="str">
        <x:v>Proposed term</x:v>
      </x:c>
      <x:c r="B21" s="104" t="n">
        <x:v>5</x:v>
      </x:c>
      <x:c r="C21" s="12" t="str">
        <x:v>Years</x:v>
      </x:c>
      <x:c r="D21" s="12" t="str">
        <x:v>Proposed term sheet</x:v>
      </x:c>
    </x:row>
    <x:row r="22">
      <x:c r="A22" s="12" t="str">
        <x:v>Annual proposed debt service</x:v>
      </x:c>
      <x:c r="B22" s="41" t="n">
        <x:f>Covenant_Calc!$B$15</x:f>
        <x:v>1314522.54868894</x:v>
      </x:c>
      <x:c r="C22" s="12" t="str">
        <x:v>$/yr</x:v>
      </x:c>
      <x:c r="D22" s="12" t="str">
        <x:v>Formula</x:v>
      </x:c>
    </x:row>
    <x:row r="23">
      <x:c r="A23" s="12" t="str">
        <x:v>TTM property NOI</x:v>
      </x:c>
      <x:c r="B23" s="41" t="n">
        <x:f>Operating_History!$F$17</x:f>
        <x:v>1635000</x:v>
      </x:c>
      <x:c r="C23" s="12" t="str">
        <x:v>$/yr</x:v>
      </x:c>
      <x:c r="D23" s="12" t="str">
        <x:v>TTM Aug-2026 operating statement</x:v>
      </x:c>
    </x:row>
    <x:row r="24">
      <x:c r="A24" s="12" t="str">
        <x:v>Lender-defined covenant NOI</x:v>
      </x:c>
      <x:c r="B24" s="41" t="n">
        <x:f>Covenant_Calc!$B$10</x:f>
        <x:v>1635000</x:v>
      </x:c>
      <x:c r="C24" s="12" t="str">
        <x:v>$/yr</x:v>
      </x:c>
      <x:c r="D24" s="12" t="str">
        <x:v>Loan agreement definition applied</x:v>
      </x:c>
    </x:row>
    <x:row r="25">
      <x:c r="A25" s="12" t="str">
        <x:v>Borrower-reported DSCR</x:v>
      </x:c>
      <x:c r="B25" s="42" t="n">
        <x:f>Covenant_Calc!$B$17</x:f>
        <x:v>1.3388891668350338</x:v>
      </x:c>
      <x:c r="C25" s="12" t="str">
        <x:v>x</x:v>
      </x:c>
      <x:c r="D25" s="12" t="str">
        <x:v>Compliance certificate</x:v>
      </x:c>
    </x:row>
    <x:row r="26">
      <x:c r="A26" s="12" t="str">
        <x:v>Lender-recalculated DSCR</x:v>
      </x:c>
      <x:c r="B26" s="42" t="n">
        <x:f>Covenant_Calc!$B$18</x:f>
        <x:v>1.2437976066905</x:v>
      </x:c>
      <x:c r="C26" s="12" t="str">
        <x:v>x</x:v>
      </x:c>
      <x:c r="D26" s="12" t="str">
        <x:v>Canonical calculation</x:v>
      </x:c>
    </x:row>
    <x:row r="27">
      <x:c r="A27" s="12" t="str">
        <x:v>Minimum DSCR covenant</x:v>
      </x:c>
      <x:c r="B27" s="42" t="n">
        <x:f>Loan_Terms!$B$20</x:f>
        <x:v>1.25</x:v>
      </x:c>
      <x:c r="C27" s="12" t="str">
        <x:v>x</x:v>
      </x:c>
      <x:c r="D27" s="12" t="str">
        <x:v>Loan agreement</x:v>
      </x:c>
    </x:row>
    <x:row r="28">
      <x:c r="A28" s="12" t="str">
        <x:v>Appraised value (3/31/25)</x:v>
      </x:c>
      <x:c r="B28" s="41" t="n">
        <x:f>Appraisal!$B$7</x:f>
        <x:v>20400000</x:v>
      </x:c>
      <x:c r="C28" s="12" t="str">
        <x:v>$</x:v>
      </x:c>
      <x:c r="D28" s="12" t="str">
        <x:v>Appraisal</x:v>
      </x:c>
    </x:row>
    <x:row r="29">
      <x:c r="A29" s="12" t="str">
        <x:v>Requested LTV on stale appraisal</x:v>
      </x:c>
      <x:c r="B29" s="40" t="n">
        <x:f>B18/B28</x:f>
        <x:v>0.5882352941176471</x:v>
      </x:c>
      <x:c r="C29" s="12" t="str">
        <x:v>%</x:v>
      </x:c>
      <x:c r="D29" s="12" t="str">
        <x:v>Requested loan / appraisal</x:v>
      </x:c>
    </x:row>
    <x:row r="30">
      <x:c r="A30" s="12"/>
      <x:c r="B30" s="12"/>
      <x:c r="C30" s="12"/>
      <x:c r="D30" s="12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0" hidden="0" customWidth="1"/>
    <x:col min="4" max="4" width="12" hidden="0" customWidth="1"/>
    <x:col min="5" max="5" width="10" hidden="0" customWidth="1"/>
    <x:col min="6" max="6" width="14" hidden="0" customWidth="1"/>
    <x:col min="7" max="7" width="15" hidden="0" customWidth="1"/>
    <x:col min="8" max="8" width="16" hidden="0" customWidth="1"/>
    <x:col min="9" max="9" width="16" hidden="0" customWidth="1"/>
    <x:col min="10" max="10" width="16" hidden="0" customWidth="1"/>
    <x:col min="11" max="11" width="15" hidden="0" customWidth="1"/>
    <x:col min="12" max="12" width="12" hidden="0" customWidth="1"/>
    <x:col min="13" max="13" width="24" hidden="0" customWidth="1"/>
    <x:col min="14" max="14" width="58" hidden="0" customWidth="1"/>
  </x:cols>
  <x:sheetData>
    <x:row r="1" ht="28" customHeight="1">
      <x:c r="A1" s="5" t="str">
        <x:v>Current Tenant Roster / Rent Roll Ground Truth — 8/31/2026</x:v>
      </x:c>
      <x:c r="B1" s="5"/>
      <x:c r="C1" s="5"/>
      <x:c r="D1" s="5"/>
      <x:c r="E1" s="5"/>
      <x:c r="F1" s="5"/>
      <x:c r="G1" s="5"/>
      <x:c r="H1" s="5"/>
    </x:row>
    <x:row r="3">
      <x:c r="A3" s="27" t="str">
        <x:v>Tenant ID</x:v>
      </x:c>
      <x:c r="B3" s="27" t="str">
        <x:v>DBA / Rent Roll Name</x:v>
      </x:c>
      <x:c r="C3" s="27" t="str">
        <x:v>Legal Tenant Entity</x:v>
      </x:c>
      <x:c r="D3" s="27" t="str">
        <x:v>Occupied SF</x:v>
      </x:c>
      <x:c r="E3" s="27" t="str">
        <x:v>% GLA</x:v>
      </x:c>
      <x:c r="F3" s="27" t="str">
        <x:v>Canonical Lease Exp.</x:v>
      </x:c>
      <x:c r="G3" s="27" t="str">
        <x:v>Rent Roll Lease Exp.</x:v>
      </x:c>
      <x:c r="H3" s="27" t="str">
        <x:v>Current Base Rent ($/SF/yr)</x:v>
      </x:c>
      <x:c r="I3" s="27" t="str">
        <x:v>Annual Base Rent ($)</x:v>
      </x:c>
      <x:c r="J3" s="27" t="str">
        <x:v>CAM / Recoveries ($/yr)</x:v>
      </x:c>
      <x:c r="K3" s="27" t="str">
        <x:v>Lease Structure</x:v>
      </x:c>
      <x:c r="L3" s="27" t="str">
        <x:v>Status</x:v>
      </x:c>
      <x:c r="M3" s="27" t="str">
        <x:v>Primary Evidence</x:v>
      </x:c>
      <x:c r="N3" s="27" t="str">
        <x:v>Key Note</x:v>
      </x:c>
    </x:row>
    <x:row r="4">
      <x:c r="A4" s="12" t="str">
        <x:v>T001</x:v>
      </x:c>
      <x:c r="B4" s="12" t="str">
        <x:v>FreshMart Market</x:v>
      </x:c>
      <x:c r="C4" s="12" t="str">
        <x:v>FM Retail Operations, LLC</x:v>
      </x:c>
      <x:c r="D4" s="12" t="n">
        <x:v>34000</x:v>
      </x:c>
      <x:c r="E4" s="40" t="n">
        <x:f>D4/Deal_Summary!$B$9</x:f>
        <x:v>0.35269709543568467</x:v>
      </x:c>
      <x:c r="F4" s="14" t="n">
        <x:v>48944</x:v>
      </x:c>
      <x:c r="G4" s="14" t="n">
        <x:v>48944</x:v>
      </x:c>
      <x:c r="H4" s="54" t="n">
        <x:v>18.5</x:v>
      </x:c>
      <x:c r="I4" s="41" t="n">
        <x:f>D4*H4</x:f>
        <x:v>629000</x:v>
      </x:c>
      <x:c r="J4" s="41" t="n">
        <x:v>272000</x:v>
      </x:c>
      <x:c r="K4" s="12" t="str">
        <x:v>NNN</x:v>
      </x:c>
      <x:c r="L4" s="12" t="str">
        <x:v>Current</x:v>
      </x:c>
      <x:c r="M4" s="12" t="str">
        <x:v>Executed lease + Amendments 1-2</x:v>
      </x:c>
      <x:c r="N4" s="66" t="str">
        <x:v>Amendment 2 creates one-time termination right 12/31/2029; rent roll does not show it.</x:v>
      </x:c>
    </x:row>
    <x:row r="5">
      <x:c r="A5" s="12" t="str">
        <x:v>T002</x:v>
      </x:c>
      <x:c r="B5" s="12" t="str">
        <x:v>PharmaPlus</x:v>
      </x:c>
      <x:c r="C5" s="12" t="str">
        <x:v>PharmaPlus Stores, Inc.</x:v>
      </x:c>
      <x:c r="D5" s="12" t="n">
        <x:v>10500</x:v>
      </x:c>
      <x:c r="E5" s="40" t="n">
        <x:f>D5/Deal_Summary!$B$9</x:f>
        <x:v>0.10892116182572614</x:v>
      </x:c>
      <x:c r="F5" s="14" t="n">
        <x:v>48395</x:v>
      </x:c>
      <x:c r="G5" s="14" t="n">
        <x:v>48395</x:v>
      </x:c>
      <x:c r="H5" s="54" t="n">
        <x:v>32</x:v>
      </x:c>
      <x:c r="I5" s="41" t="n">
        <x:f>D5*H5</x:f>
        <x:v>336000</x:v>
      </x:c>
      <x:c r="J5" s="41" t="n">
        <x:v>94500</x:v>
      </x:c>
      <x:c r="K5" s="12" t="str">
        <x:v>NNN</x:v>
      </x:c>
      <x:c r="L5" s="12" t="str">
        <x:v>Current</x:v>
      </x:c>
      <x:c r="M5" s="12" t="str">
        <x:v>Executed lease</x:v>
      </x:c>
      <x:c r="N5" s="12" t="str">
        <x:v>No material exception.</x:v>
      </x:c>
    </x:row>
    <x:row r="6">
      <x:c r="A6" s="12" t="str">
        <x:v>T003</x:v>
      </x:c>
      <x:c r="B6" s="12" t="str">
        <x:v>FitZone Fitness</x:v>
      </x:c>
      <x:c r="C6" s="12" t="str">
        <x:v>FitZone Texas LLC</x:v>
      </x:c>
      <x:c r="D6" s="12" t="n">
        <x:v>9000</x:v>
      </x:c>
      <x:c r="E6" s="40" t="n">
        <x:f>D6/Deal_Summary!$B$9</x:f>
        <x:v>0.09336099585062241</x:v>
      </x:c>
      <x:c r="F6" s="14" t="n">
        <x:v>46873</x:v>
      </x:c>
      <x:c r="G6" s="14" t="n">
        <x:v>46873</x:v>
      </x:c>
      <x:c r="H6" s="54" t="n">
        <x:v>15</x:v>
      </x:c>
      <x:c r="I6" s="41" t="n">
        <x:f>D6*H6</x:f>
        <x:v>135000</x:v>
      </x:c>
      <x:c r="J6" s="41" t="n">
        <x:v>72000</x:v>
      </x:c>
      <x:c r="K6" s="12" t="str">
        <x:v>NNN w/ cap</x:v>
      </x:c>
      <x:c r="L6" s="12" t="str">
        <x:v>Current</x:v>
      </x:c>
      <x:c r="M6" s="12" t="str">
        <x:v>Executed lease</x:v>
      </x:c>
      <x:c r="N6" s="12" t="str">
        <x:v>Expense cap limits some recovery.</x:v>
      </x:c>
    </x:row>
    <x:row r="7">
      <x:c r="A7" s="12" t="str">
        <x:v>T004</x:v>
      </x:c>
      <x:c r="B7" s="12" t="str">
        <x:v>ValueMart</x:v>
      </x:c>
      <x:c r="C7" s="12" t="str">
        <x:v>ValueMart Retail LLC</x:v>
      </x:c>
      <x:c r="D7" s="12" t="n">
        <x:v>6000</x:v>
      </x:c>
      <x:c r="E7" s="40" t="n">
        <x:f>D7/Deal_Summary!$B$9</x:f>
        <x:v>0.06224066390041494</x:v>
      </x:c>
      <x:c r="F7" s="14" t="n">
        <x:v>48213</x:v>
      </x:c>
      <x:c r="G7" s="14" t="n">
        <x:v>48213</x:v>
      </x:c>
      <x:c r="H7" s="54" t="n">
        <x:v>24</x:v>
      </x:c>
      <x:c r="I7" s="41" t="n">
        <x:f>D7*H7</x:f>
        <x:v>144000</x:v>
      </x:c>
      <x:c r="J7" s="41" t="n">
        <x:v>48000</x:v>
      </x:c>
      <x:c r="K7" s="12" t="str">
        <x:v>NNN</x:v>
      </x:c>
      <x:c r="L7" s="12" t="str">
        <x:v>Current</x:v>
      </x:c>
      <x:c r="M7" s="12" t="str">
        <x:v>Executed lease</x:v>
      </x:c>
      <x:c r="N7" s="12" t="str">
        <x:v>No material exception.</x:v>
      </x:c>
    </x:row>
    <x:row r="8">
      <x:c r="A8" s="12" t="str">
        <x:v>T005</x:v>
      </x:c>
      <x:c r="B8" s="12" t="str">
        <x:v>PetHouse</x:v>
      </x:c>
      <x:c r="C8" s="12" t="str">
        <x:v>PetHouse Stores LLC</x:v>
      </x:c>
      <x:c r="D8" s="12" t="n">
        <x:v>5000</x:v>
      </x:c>
      <x:c r="E8" s="40" t="n">
        <x:f>D8/Deal_Summary!$B$9</x:f>
        <x:v>0.05186721991701245</x:v>
      </x:c>
      <x:c r="F8" s="14" t="n">
        <x:v>47391</x:v>
      </x:c>
      <x:c r="G8" s="14" t="n">
        <x:v>47391</x:v>
      </x:c>
      <x:c r="H8" s="54" t="n">
        <x:v>28</x:v>
      </x:c>
      <x:c r="I8" s="41" t="n">
        <x:f>D8*H8</x:f>
        <x:v>140000</x:v>
      </x:c>
      <x:c r="J8" s="41" t="n">
        <x:v>42500</x:v>
      </x:c>
      <x:c r="K8" s="12" t="str">
        <x:v>NNN</x:v>
      </x:c>
      <x:c r="L8" s="12" t="str">
        <x:v>Current</x:v>
      </x:c>
      <x:c r="M8" s="12" t="str">
        <x:v>Executed lease</x:v>
      </x:c>
      <x:c r="N8" s="12" t="str">
        <x:v>No material exception.</x:v>
      </x:c>
    </x:row>
    <x:row r="9">
      <x:c r="A9" s="12" t="str">
        <x:v>T006</x:v>
      </x:c>
      <x:c r="B9" s="12" t="str">
        <x:v>Bella Cucina</x:v>
      </x:c>
      <x:c r="C9" s="12" t="str">
        <x:v>BC Cedar Grove LLC</x:v>
      </x:c>
      <x:c r="D9" s="12" t="n">
        <x:v>4000</x:v>
      </x:c>
      <x:c r="E9" s="40" t="n">
        <x:f>D9/Deal_Summary!$B$9</x:f>
        <x:v>0.04149377593360996</x:v>
      </x:c>
      <x:c r="F9" s="14" t="n">
        <x:v>46904</x:v>
      </x:c>
      <x:c r="G9" s="14" t="n">
        <x:v>46904</x:v>
      </x:c>
      <x:c r="H9" s="54" t="n">
        <x:v>31</x:v>
      </x:c>
      <x:c r="I9" s="41" t="n">
        <x:f>D9*H9</x:f>
        <x:v>124000</x:v>
      </x:c>
      <x:c r="J9" s="41" t="n">
        <x:v>34000</x:v>
      </x:c>
      <x:c r="K9" s="12" t="str">
        <x:v>NNN</x:v>
      </x:c>
      <x:c r="L9" s="12" t="str">
        <x:v>Current</x:v>
      </x:c>
      <x:c r="M9" s="12" t="str">
        <x:v>Executed lease</x:v>
      </x:c>
      <x:c r="N9" s="12" t="str">
        <x:v>One 5-year option at FMV.</x:v>
      </x:c>
    </x:row>
    <x:row r="10">
      <x:c r="A10" s="12" t="str">
        <x:v>T007</x:v>
      </x:c>
      <x:c r="B10" s="12" t="str">
        <x:v>Family Dental Care</x:v>
      </x:c>
      <x:c r="C10" s="12" t="str">
        <x:v>Family Dental of Cedar Grove PLLC</x:v>
      </x:c>
      <x:c r="D10" s="12" t="n">
        <x:v>3500</x:v>
      </x:c>
      <x:c r="E10" s="40" t="n">
        <x:f>D10/Deal_Summary!$B$9</x:f>
        <x:v>0.03630705394190872</x:v>
      </x:c>
      <x:c r="F10" s="14" t="n">
        <x:v>46752</x:v>
      </x:c>
      <x:c r="G10" s="64" t="n">
        <x:v>47118</x:v>
      </x:c>
      <x:c r="H10" s="54" t="n">
        <x:v>30</x:v>
      </x:c>
      <x:c r="I10" s="41" t="n">
        <x:f>D10*H10</x:f>
        <x:v>105000</x:v>
      </x:c>
      <x:c r="J10" s="41" t="n">
        <x:v>28000</x:v>
      </x:c>
      <x:c r="K10" s="12" t="str">
        <x:v>NNN</x:v>
      </x:c>
      <x:c r="L10" s="12" t="str">
        <x:v>Current</x:v>
      </x:c>
      <x:c r="M10" s="12" t="str">
        <x:v>Executed lease</x:v>
      </x:c>
      <x:c r="N10" s="12" t="str">
        <x:v>Rent roll overstates expiration by 12 months.</x:v>
      </x:c>
    </x:row>
    <x:row r="11">
      <x:c r="A11" s="12" t="str">
        <x:v>T008</x:v>
      </x:c>
      <x:c r="B11" s="12" t="str">
        <x:v>First Community Bank</x:v>
      </x:c>
      <x:c r="C11" s="12" t="str">
        <x:v>First Community Bank of Texas</x:v>
      </x:c>
      <x:c r="D11" s="12" t="n">
        <x:v>3000</x:v>
      </x:c>
      <x:c r="E11" s="40" t="n">
        <x:f>D11/Deal_Summary!$B$9</x:f>
        <x:v>0.03112033195020747</x:v>
      </x:c>
      <x:c r="F11" s="14" t="n">
        <x:v>47879</x:v>
      </x:c>
      <x:c r="G11" s="14" t="n">
        <x:v>47879</x:v>
      </x:c>
      <x:c r="H11" s="54" t="n">
        <x:v>38</x:v>
      </x:c>
      <x:c r="I11" s="41" t="n">
        <x:f>D11*H11</x:f>
        <x:v>114000</x:v>
      </x:c>
      <x:c r="J11" s="41" t="n">
        <x:v>25500</x:v>
      </x:c>
      <x:c r="K11" s="12" t="str">
        <x:v>NNN</x:v>
      </x:c>
      <x:c r="L11" s="12" t="str">
        <x:v>Current</x:v>
      </x:c>
      <x:c r="M11" s="12" t="str">
        <x:v>Executed lease</x:v>
      </x:c>
      <x:c r="N11" s="12" t="str">
        <x:v>No material exception.</x:v>
      </x:c>
    </x:row>
    <x:row r="12">
      <x:c r="A12" s="12" t="str">
        <x:v>T009</x:v>
      </x:c>
      <x:c r="B12" s="12" t="str">
        <x:v>Sakura Sushi</x:v>
      </x:c>
      <x:c r="C12" s="12" t="str">
        <x:v>Sakura Hospitality LLC</x:v>
      </x:c>
      <x:c r="D12" s="12" t="n">
        <x:v>2500</x:v>
      </x:c>
      <x:c r="E12" s="40" t="n">
        <x:f>D12/Deal_Summary!$B$9</x:f>
        <x:v>0.025933609958506226</x:v>
      </x:c>
      <x:c r="F12" s="14" t="n">
        <x:v>47361</x:v>
      </x:c>
      <x:c r="G12" s="14" t="n">
        <x:v>47361</x:v>
      </x:c>
      <x:c r="H12" s="54" t="n">
        <x:v>34</x:v>
      </x:c>
      <x:c r="I12" s="41" t="n">
        <x:f>D12*H12</x:f>
        <x:v>85000</x:v>
      </x:c>
      <x:c r="J12" s="41" t="n">
        <x:v>21250</x:v>
      </x:c>
      <x:c r="K12" s="12" t="str">
        <x:v>NNN</x:v>
      </x:c>
      <x:c r="L12" s="12" t="str">
        <x:v>Current</x:v>
      </x:c>
      <x:c r="M12" s="12" t="str">
        <x:v>Executed lease</x:v>
      </x:c>
      <x:c r="N12" s="12" t="str">
        <x:v>No material exception.</x:v>
      </x:c>
    </x:row>
    <x:row r="13">
      <x:c r="A13" s="12" t="str">
        <x:v>T010</x:v>
      </x:c>
      <x:c r="B13" s="12" t="str">
        <x:v>Polished Nail Studio</x:v>
      </x:c>
      <x:c r="C13" s="12" t="str">
        <x:v>Polished Cedar Grove LLC</x:v>
      </x:c>
      <x:c r="D13" s="12" t="n">
        <x:v>2200</x:v>
      </x:c>
      <x:c r="E13" s="40" t="n">
        <x:f>D13/Deal_Summary!$B$9</x:f>
        <x:v>0.022821576763485476</x:v>
      </x:c>
      <x:c r="F13" s="14" t="n">
        <x:v>46752</x:v>
      </x:c>
      <x:c r="G13" s="14" t="n">
        <x:v>46752</x:v>
      </x:c>
      <x:c r="H13" s="54" t="n">
        <x:v>29</x:v>
      </x:c>
      <x:c r="I13" s="41" t="n">
        <x:f>D13*H13</x:f>
        <x:v>63800</x:v>
      </x:c>
      <x:c r="J13" s="41" t="n">
        <x:v>17600</x:v>
      </x:c>
      <x:c r="K13" s="12" t="str">
        <x:v>NNN</x:v>
      </x:c>
      <x:c r="L13" s="12" t="str">
        <x:v>Current</x:v>
      </x:c>
      <x:c r="M13" s="12" t="str">
        <x:v>Executed lease</x:v>
      </x:c>
      <x:c r="N13" s="12" t="str">
        <x:v>Near-term rollover.</x:v>
      </x:c>
    </x:row>
    <x:row r="14">
      <x:c r="A14" s="12" t="str">
        <x:v>T011</x:v>
      </x:c>
      <x:c r="B14" s="12" t="str">
        <x:v>Wireless Hub</x:v>
      </x:c>
      <x:c r="C14" s="12" t="str">
        <x:v>Wireless Hub DFW LLC</x:v>
      </x:c>
      <x:c r="D14" s="12" t="n">
        <x:v>2000</x:v>
      </x:c>
      <x:c r="E14" s="40" t="n">
        <x:f>D14/Deal_Summary!$B$9</x:f>
        <x:v>0.02074688796680498</x:v>
      </x:c>
      <x:c r="F14" s="14" t="n">
        <x:v>46326</x:v>
      </x:c>
      <x:c r="G14" s="14" t="n">
        <x:v>46326</x:v>
      </x:c>
      <x:c r="H14" s="54" t="n">
        <x:v>36</x:v>
      </x:c>
      <x:c r="I14" s="41" t="n">
        <x:f>D14*H14</x:f>
        <x:v>72000</x:v>
      </x:c>
      <x:c r="J14" s="41" t="n">
        <x:v>16000</x:v>
      </x:c>
      <x:c r="K14" s="12" t="str">
        <x:v>NNN</x:v>
      </x:c>
      <x:c r="L14" s="12" t="str">
        <x:v>Current</x:v>
      </x:c>
      <x:c r="M14" s="12" t="str">
        <x:v>Executed lease</x:v>
      </x:c>
      <x:c r="N14" s="68" t="str">
        <x:v>Lease expires 46 days after analysis date; renewal not executed.</x:v>
      </x:c>
    </x:row>
    <x:row r="15">
      <x:c r="A15" s="12" t="str">
        <x:v>T012</x:v>
      </x:c>
      <x:c r="B15" s="12" t="str">
        <x:v>ClearView Optometry</x:v>
      </x:c>
      <x:c r="C15" s="12" t="str">
        <x:v>ClearView Optometry PLLC</x:v>
      </x:c>
      <x:c r="D15" s="12" t="n">
        <x:v>1800</x:v>
      </x:c>
      <x:c r="E15" s="40" t="n">
        <x:f>D15/Deal_Summary!$B$9</x:f>
        <x:v>0.01867219917012448</x:v>
      </x:c>
      <x:c r="F15" s="14" t="n">
        <x:v>46843</x:v>
      </x:c>
      <x:c r="G15" s="14" t="n">
        <x:v>46843</x:v>
      </x:c>
      <x:c r="H15" s="54" t="n">
        <x:v>33</x:v>
      </x:c>
      <x:c r="I15" s="41" t="n">
        <x:f>D15*H15</x:f>
        <x:v>59400</x:v>
      </x:c>
      <x:c r="J15" s="41" t="n">
        <x:v>14400</x:v>
      </x:c>
      <x:c r="K15" s="12" t="str">
        <x:v>NNN</x:v>
      </x:c>
      <x:c r="L15" s="12" t="str">
        <x:v>Current</x:v>
      </x:c>
      <x:c r="M15" s="12" t="str">
        <x:v>Executed lease</x:v>
      </x:c>
      <x:c r="N15" s="12" t="str">
        <x:v>No material exception.</x:v>
      </x:c>
    </x:row>
    <x:row r="16">
      <x:c r="A16" s="12" t="str">
        <x:v>T013</x:v>
      </x:c>
      <x:c r="B16" s="12" t="str">
        <x:v>MathWorks Learning</x:v>
      </x:c>
      <x:c r="C16" s="12" t="str">
        <x:v>MathWorks Learning Center LLC</x:v>
      </x:c>
      <x:c r="D16" s="12" t="n">
        <x:v>1600</x:v>
      </x:c>
      <x:c r="E16" s="40" t="n">
        <x:f>D16/Deal_Summary!$B$9</x:f>
        <x:v>0.016597510373443983</x:v>
      </x:c>
      <x:c r="F16" s="14" t="n">
        <x:v>47483</x:v>
      </x:c>
      <x:c r="G16" s="14" t="n">
        <x:v>47483</x:v>
      </x:c>
      <x:c r="H16" s="54" t="n">
        <x:v>27</x:v>
      </x:c>
      <x:c r="I16" s="41" t="n">
        <x:f>D16*H16</x:f>
        <x:v>43200</x:v>
      </x:c>
      <x:c r="J16" s="41" t="n">
        <x:v>12000</x:v>
      </x:c>
      <x:c r="K16" s="12" t="str">
        <x:v>NNN</x:v>
      </x:c>
      <x:c r="L16" s="12" t="str">
        <x:v>Current</x:v>
      </x:c>
      <x:c r="M16" s="12" t="str">
        <x:v>Executed lease</x:v>
      </x:c>
      <x:c r="N16" s="12" t="str">
        <x:v>No material exception.</x:v>
      </x:c>
    </x:row>
    <x:row r="17">
      <x:c r="A17" s="12" t="str">
        <x:v>T014</x:v>
      </x:c>
      <x:c r="B17" s="12" t="str">
        <x:v>Cedar Grove Cleaners</x:v>
      </x:c>
      <x:c r="C17" s="12" t="str">
        <x:v>Cedar Grove Cleaners LLC</x:v>
      </x:c>
      <x:c r="D17" s="12" t="n">
        <x:v>1500</x:v>
      </x:c>
      <x:c r="E17" s="40" t="n">
        <x:f>D17/Deal_Summary!$B$9</x:f>
        <x:v>0.015560165975103735</x:v>
      </x:c>
      <x:c r="F17" s="14" t="n">
        <x:v>46568</x:v>
      </x:c>
      <x:c r="G17" s="14" t="n">
        <x:v>46568</x:v>
      </x:c>
      <x:c r="H17" s="54" t="n">
        <x:v>28</x:v>
      </x:c>
      <x:c r="I17" s="41" t="n">
        <x:f>D17*H17</x:f>
        <x:v>42000</x:v>
      </x:c>
      <x:c r="J17" s="41" t="n">
        <x:v>11250</x:v>
      </x:c>
      <x:c r="K17" s="12" t="str">
        <x:v>NNN</x:v>
      </x:c>
      <x:c r="L17" s="12" t="str">
        <x:v>Current</x:v>
      </x:c>
      <x:c r="M17" s="12" t="str">
        <x:v>Executed lease</x:v>
      </x:c>
      <x:c r="N17" s="12" t="str">
        <x:v>Near-term rollover.</x:v>
      </x:c>
    </x:row>
    <x:row r="18">
      <x:c r="A18" s="12" t="str">
        <x:v>T015</x:v>
      </x:c>
      <x:c r="B18" s="12" t="str">
        <x:v>Lone Star Insurance</x:v>
      </x:c>
      <x:c r="C18" s="12" t="str">
        <x:v>Lone Star Insurance Agency LLC</x:v>
      </x:c>
      <x:c r="D18" s="12" t="n">
        <x:v>1200</x:v>
      </x:c>
      <x:c r="E18" s="40" t="n">
        <x:f>D18/Deal_Summary!$B$9</x:f>
        <x:v>0.012448132780082987</x:v>
      </x:c>
      <x:c r="F18" s="14" t="n">
        <x:v>46446</x:v>
      </x:c>
      <x:c r="G18" s="14" t="n">
        <x:v>46446</x:v>
      </x:c>
      <x:c r="H18" s="54" t="n">
        <x:v>26</x:v>
      </x:c>
      <x:c r="I18" s="41" t="n">
        <x:f>D18*H18</x:f>
        <x:v>31200</x:v>
      </x:c>
      <x:c r="J18" s="41" t="n">
        <x:v>8400</x:v>
      </x:c>
      <x:c r="K18" s="12" t="str">
        <x:v>NNN</x:v>
      </x:c>
      <x:c r="L18" s="12" t="str">
        <x:v>Current</x:v>
      </x:c>
      <x:c r="M18" s="12" t="str">
        <x:v>Executed lease</x:v>
      </x:c>
      <x:c r="N18" s="12" t="str">
        <x:v>Near-term rollover.</x:v>
      </x:c>
    </x:row>
    <x:row r="19">
      <x:c r="A19" s="12" t="str">
        <x:v>T016</x:v>
      </x:c>
      <x:c r="B19" s="12" t="str">
        <x:v>Pressed &amp; Poured Juice</x:v>
      </x:c>
      <x:c r="C19" s="12" t="str">
        <x:v>Pressed &amp; Poured LLC</x:v>
      </x:c>
      <x:c r="D19" s="12" t="n">
        <x:v>1000</x:v>
      </x:c>
      <x:c r="E19" s="40" t="n">
        <x:f>D19/Deal_Summary!$B$9</x:f>
        <x:v>0.01037344398340249</x:v>
      </x:c>
      <x:c r="F19" s="14" t="n">
        <x:v>47787</x:v>
      </x:c>
      <x:c r="G19" s="14" t="n">
        <x:v>47787</x:v>
      </x:c>
      <x:c r="H19" s="54" t="n">
        <x:v>40</x:v>
      </x:c>
      <x:c r="I19" s="41" t="n">
        <x:f>D19*H19</x:f>
        <x:v>40000</x:v>
      </x:c>
      <x:c r="J19" s="41" t="n">
        <x:v>7000</x:v>
      </x:c>
      <x:c r="K19" s="12" t="str">
        <x:v>NNN</x:v>
      </x:c>
      <x:c r="L19" s="12" t="str">
        <x:v>Current</x:v>
      </x:c>
      <x:c r="M19" s="12" t="str">
        <x:v>Lease + commencement letter</x:v>
      </x:c>
      <x:c r="N19" s="12" t="str">
        <x:v>Rent started 3/1/26 after free-rent period; appraisal uses older $38/SF assumption.</x:v>
      </x:c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</x:row>
    <x:row r="21">
      <x:c r="A21" s="12" t="str">
        <x:v>VACANT</x:v>
      </x:c>
      <x:c r="B21" s="12" t="str">
        <x:v>Vacant Suite V-01</x:v>
      </x:c>
      <x:c r="C21" s="12" t="str"/>
      <x:c r="D21" s="12" t="n">
        <x:v>4600</x:v>
      </x:c>
      <x:c r="E21" s="40" t="n">
        <x:f>D21/Deal_Summary!$B$9</x:f>
        <x:v>0.04771784232365145</x:v>
      </x:c>
      <x:c r="F21" s="12" t="str"/>
      <x:c r="G21" s="12" t="str"/>
      <x:c r="H21" s="12" t="n">
        <x:v>0</x:v>
      </x:c>
      <x:c r="I21" s="12" t="n">
        <x:v>0</x:v>
      </x:c>
      <x:c r="J21" s="12" t="n">
        <x:v>0</x:v>
      </x:c>
      <x:c r="K21" s="12" t="str"/>
      <x:c r="L21" s="12" t="str">
        <x:v>Vacant</x:v>
      </x:c>
      <x:c r="M21" s="12" t="str">
        <x:v>Current rent roll</x:v>
      </x:c>
      <x:c r="N21" s="12" t="str">
        <x:v>Vacant since 2/1/26; former local apparel tenant.</x:v>
      </x:c>
    </x:row>
    <x:row r="22">
      <x:c r="A22" s="12" t="str">
        <x:v>VACANT</x:v>
      </x:c>
      <x:c r="B22" s="12" t="str">
        <x:v>Vacant Suite V-02</x:v>
      </x:c>
      <x:c r="C22" s="12" t="str"/>
      <x:c r="D22" s="12" t="n">
        <x:v>3000</x:v>
      </x:c>
      <x:c r="E22" s="40" t="n">
        <x:f>D22/Deal_Summary!$B$9</x:f>
        <x:v>0.03112033195020747</x:v>
      </x:c>
      <x:c r="F22" s="12" t="str"/>
      <x:c r="G22" s="12" t="str"/>
      <x:c r="H22" s="12" t="n">
        <x:v>0</x:v>
      </x:c>
      <x:c r="I22" s="12" t="n">
        <x:v>0</x:v>
      </x:c>
      <x:c r="J22" s="12" t="n">
        <x:v>0</x:v>
      </x:c>
      <x:c r="K22" s="12" t="str"/>
      <x:c r="L22" s="12" t="str">
        <x:v>Vacant</x:v>
      </x:c>
      <x:c r="M22" s="12" t="str">
        <x:v>Current rent roll</x:v>
      </x:c>
      <x:c r="N22" s="12" t="str">
        <x:v>Vacant since 6/1/25.</x:v>
      </x:c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</x:row>
    <x:row r="24">
      <x:c r="A24" s="55" t="str">
        <x:v>TOTAL</x:v>
      </x:c>
      <x:c r="B24" s="55" t="str"/>
      <x:c r="C24" s="55" t="str"/>
      <x:c r="D24" s="56" t="n">
        <x:f>SUM(D4:D22)</x:f>
        <x:v>96400</x:v>
      </x:c>
      <x:c r="E24" s="57" t="n">
        <x:f>SUM(E4:E22)</x:f>
        <x:v>1</x:v>
      </x:c>
      <x:c r="F24" s="55" t="str"/>
      <x:c r="G24" s="55" t="str"/>
      <x:c r="H24" s="55" t="str"/>
      <x:c r="I24" s="58" t="n">
        <x:f>SUM(I4:I22)</x:f>
        <x:v>2163600</x:v>
      </x:c>
      <x:c r="J24" s="58" t="n">
        <x:f>SUM(J4:J22)</x:f>
        <x:v>724400</x:v>
      </x:c>
      <x:c r="K24" s="55" t="str"/>
      <x:c r="L24" s="55" t="str"/>
      <x:c r="M24" s="55" t="str"/>
      <x:c r="N24" s="55" t="str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28" hidden="0" customWidth="1"/>
    <x:col min="4" max="4" width="14" hidden="0" customWidth="1"/>
    <x:col min="5" max="5" width="13" hidden="0" customWidth="1"/>
    <x:col min="6" max="6" width="14" hidden="0" customWidth="1"/>
    <x:col min="7" max="7" width="14" hidden="0" customWidth="1"/>
    <x:col min="8" max="8" width="24" hidden="0" customWidth="1"/>
    <x:col min="9" max="9" width="24" hidden="0" customWidth="1"/>
    <x:col min="10" max="10" width="55" hidden="0" customWidth="1"/>
    <x:col min="11" max="11" width="36" hidden="0" customWidth="1"/>
    <x:col min="12" max="12" width="28" hidden="0" customWidth="1"/>
    <x:col min="13" max="13" width="30" hidden="0" customWidth="1"/>
    <x:col min="14" max="14" width="28" hidden="0" customWidth="1"/>
    <x:col min="15" max="15" width="58" hidden="0" customWidth="1"/>
  </x:cols>
  <x:sheetData>
    <x:row r="1" ht="28" customHeight="1">
      <x:c r="A1" s="5" t="str">
        <x:v>Lease-Level Legal Terms and Amendments</x:v>
      </x:c>
      <x:c r="B1" s="5"/>
      <x:c r="C1" s="5"/>
      <x:c r="D1" s="5"/>
      <x:c r="E1" s="5"/>
      <x:c r="F1" s="5"/>
      <x:c r="G1" s="5"/>
      <x:c r="H1" s="5"/>
    </x:row>
    <x:row r="3">
      <x:c r="A3" s="27" t="str">
        <x:v>Lease ID</x:v>
      </x:c>
      <x:c r="B3" s="27" t="str">
        <x:v>Tenant ID</x:v>
      </x:c>
      <x:c r="C3" s="27" t="str">
        <x:v>Legal Tenant</x:v>
      </x:c>
      <x:c r="D3" s="27" t="str">
        <x:v>Original Lease Date</x:v>
      </x:c>
      <x:c r="E3" s="27" t="str">
        <x:v>Commencement</x:v>
      </x:c>
      <x:c r="F3" s="27" t="str">
        <x:v>Contractual Expiration</x:v>
      </x:c>
      <x:c r="G3" s="27" t="str">
        <x:v>Current Base Rent ($/SF)</x:v>
      </x:c>
      <x:c r="H3" s="27" t="str">
        <x:v>Rent Steps</x:v>
      </x:c>
      <x:c r="I3" s="27" t="str">
        <x:v>Renewal Options</x:v>
      </x:c>
      <x:c r="J3" s="27" t="str">
        <x:v>Termination / Kick-out Rights</x:v>
      </x:c>
      <x:c r="K3" s="27" t="str">
        <x:v>CAM / Tax / Insurance</x:v>
      </x:c>
      <x:c r="L3" s="27" t="str">
        <x:v>Guaranty</x:v>
      </x:c>
      <x:c r="M3" s="27" t="str">
        <x:v>Assignment/Sublet</x:v>
      </x:c>
      <x:c r="N3" s="27" t="str">
        <x:v>Amendments</x:v>
      </x:c>
      <x:c r="O3" s="27" t="str">
        <x:v>Canonical Interpretation</x:v>
      </x:c>
    </x:row>
    <x:row r="4">
      <x:c r="A4" s="12" t="str">
        <x:v>L001</x:v>
      </x:c>
      <x:c r="B4" s="12" t="str">
        <x:v>T001</x:v>
      </x:c>
      <x:c r="C4" s="12" t="str">
        <x:v>FM Retail Operations, LLC</x:v>
      </x:c>
      <x:c r="D4" s="14" t="n">
        <x:v>42993</x:v>
      </x:c>
      <x:c r="E4" s="14" t="n">
        <x:v>43101</x:v>
      </x:c>
      <x:c r="F4" s="14" t="n">
        <x:v>48944</x:v>
      </x:c>
      <x:c r="G4" s="54" t="n">
        <x:v>18.5</x:v>
      </x:c>
      <x:c r="H4" s="12" t="str">
        <x:v>5% on 1/1/2028 and 1/1/2033</x:v>
      </x:c>
      <x:c r="I4" s="12" t="str">
        <x:v>2 x 5-year at preset schedule</x:v>
      </x:c>
      <x:c r="J4" s="66" t="str">
        <x:v>ONE-TIME TENANT TERMINATION effective 12/31/2029; notice by 12/31/2028; fee = 6 months then-current base rent + unamortized landlord TI/LC.</x:v>
      </x:c>
      <x:c r="K4" s="66" t="str">
        <x:v>NNN; 35.3% pro-rata share; exclusions customary</x:v>
      </x:c>
      <x:c r="L4" s="66" t="str">
        <x:v>Parent limited guaranty through 12/31/2029</x:v>
      </x:c>
      <x:c r="M4" s="66" t="str">
        <x:v>Permitted transfers to affiliates; otherwise consent</x:v>
      </x:c>
      <x:c r="N4" s="66" t="str">
        <x:v>Amend.1 6/1/2020; Amend.2 6/15/2023</x:v>
      </x:c>
      <x:c r="O4" s="66" t="str">
        <x:v>Lease legally runs to 2033, but economic exposure should use 2029 termination date unless/ until option expires unexercised.</x:v>
      </x:c>
    </x:row>
    <x:row r="5">
      <x:c r="A5" s="12" t="str">
        <x:v>L002</x:v>
      </x:c>
      <x:c r="B5" s="12" t="str">
        <x:v>T002</x:v>
      </x:c>
      <x:c r="C5" s="12" t="str">
        <x:v>PharmaPlus Stores, Inc.</x:v>
      </x:c>
      <x:c r="D5" s="14" t="n">
        <x:v>44630</x:v>
      </x:c>
      <x:c r="E5" s="14" t="n">
        <x:v>44743</x:v>
      </x:c>
      <x:c r="F5" s="14" t="n">
        <x:v>48395</x:v>
      </x:c>
      <x:c r="G5" s="54" t="n">
        <x:v>32</x:v>
      </x:c>
      <x:c r="H5" s="12" t="str">
        <x:v>2.5% annual</x:v>
      </x:c>
      <x:c r="I5" s="12" t="str">
        <x:v>3 x 5-year at FMV</x:v>
      </x:c>
      <x:c r="J5" s="12" t="str">
        <x:v>None</x:v>
      </x:c>
      <x:c r="K5" s="12" t="str">
        <x:v>NNN; uncapped controllable CAM</x:v>
      </x:c>
      <x:c r="L5" s="12" t="str">
        <x:v>Corporate guaranty</x:v>
      </x:c>
      <x:c r="M5" s="12" t="str">
        <x:v>Consent, not unreasonably withheld</x:v>
      </x:c>
      <x:c r="N5" s="12" t="str">
        <x:v>None</x:v>
      </x:c>
      <x:c r="O5" s="12" t="str">
        <x:v>Straightforward.</x:v>
      </x:c>
    </x:row>
    <x:row r="6">
      <x:c r="A6" s="12" t="str">
        <x:v>L003</x:v>
      </x:c>
      <x:c r="B6" s="12" t="str">
        <x:v>T003</x:v>
      </x:c>
      <x:c r="C6" s="12" t="str">
        <x:v>FitZone Texas LLC</x:v>
      </x:c>
      <x:c r="D6" s="14" t="n">
        <x:v>43862</x:v>
      </x:c>
      <x:c r="E6" s="14" t="n">
        <x:v>43952</x:v>
      </x:c>
      <x:c r="F6" s="14" t="n">
        <x:v>46873</x:v>
      </x:c>
      <x:c r="G6" s="54" t="n">
        <x:v>15</x:v>
      </x:c>
      <x:c r="H6" s="12" t="str">
        <x:v>3% annual</x:v>
      </x:c>
      <x:c r="I6" s="12" t="str">
        <x:v>1 x 5-year at FMV</x:v>
      </x:c>
      <x:c r="J6" s="12" t="str">
        <x:v>None</x:v>
      </x:c>
      <x:c r="K6" s="12" t="str">
        <x:v>NNN but controllable CAM capped at 5% annual growth</x:v>
      </x:c>
      <x:c r="L6" s="12" t="str">
        <x:v>Parent guaranty first 5 years only</x:v>
      </x:c>
      <x:c r="M6" s="12" t="str">
        <x:v>Consent required</x:v>
      </x:c>
      <x:c r="N6" s="12" t="str">
        <x:v>Amend.1 4/1/2022</x:v>
      </x:c>
      <x:c r="O6" s="12" t="str">
        <x:v>CAM cap explains part of recovery gap; should not be treated as collectability failure.</x:v>
      </x:c>
    </x:row>
    <x:row r="7">
      <x:c r="A7" s="12" t="str">
        <x:v>L004</x:v>
      </x:c>
      <x:c r="B7" s="12" t="str">
        <x:v>T004</x:v>
      </x:c>
      <x:c r="C7" s="12" t="str">
        <x:v>ValueMart Retail LLC</x:v>
      </x:c>
      <x:c r="D7" s="14" t="n">
        <x:v>44058</x:v>
      </x:c>
      <x:c r="E7" s="14" t="n">
        <x:v>44197</x:v>
      </x:c>
      <x:c r="F7" s="14" t="n">
        <x:v>48213</x:v>
      </x:c>
      <x:c r="G7" s="54" t="n">
        <x:v>24</x:v>
      </x:c>
      <x:c r="H7" s="12" t="str">
        <x:v>10% every 5 years</x:v>
      </x:c>
      <x:c r="I7" s="12" t="str">
        <x:v>2 x 5-year</x:v>
      </x:c>
      <x:c r="J7" s="12" t="str">
        <x:v>None</x:v>
      </x:c>
      <x:c r="K7" s="12" t="str">
        <x:v>NNN</x:v>
      </x:c>
      <x:c r="L7" s="12" t="str">
        <x:v>Corporate guaranty</x:v>
      </x:c>
      <x:c r="M7" s="12" t="str">
        <x:v>Consent required</x:v>
      </x:c>
      <x:c r="N7" s="12" t="str">
        <x:v>None</x:v>
      </x:c>
      <x:c r="O7" s="12" t="str">
        <x:v>Straightforward.</x:v>
      </x:c>
    </x:row>
    <x:row r="8">
      <x:c r="A8" s="12" t="str">
        <x:v>L005</x:v>
      </x:c>
      <x:c r="B8" s="12" t="str">
        <x:v>T005</x:v>
      </x:c>
      <x:c r="C8" s="12" t="str">
        <x:v>PetHouse Stores LLC</x:v>
      </x:c>
      <x:c r="D8" s="14" t="n">
        <x:v>43647</x:v>
      </x:c>
      <x:c r="E8" s="14" t="n">
        <x:v>43739</x:v>
      </x:c>
      <x:c r="F8" s="14" t="n">
        <x:v>47391</x:v>
      </x:c>
      <x:c r="G8" s="54" t="n">
        <x:v>28</x:v>
      </x:c>
      <x:c r="H8" s="12" t="str">
        <x:v>3% annual</x:v>
      </x:c>
      <x:c r="I8" s="12" t="str">
        <x:v>2 x 5-year</x:v>
      </x:c>
      <x:c r="J8" s="12" t="str">
        <x:v>None</x:v>
      </x:c>
      <x:c r="K8" s="12" t="str">
        <x:v>NNN</x:v>
      </x:c>
      <x:c r="L8" s="12" t="str">
        <x:v>Corporate guaranty</x:v>
      </x:c>
      <x:c r="M8" s="12" t="str">
        <x:v>Consent required</x:v>
      </x:c>
      <x:c r="N8" s="12" t="str">
        <x:v>None</x:v>
      </x:c>
      <x:c r="O8" s="12" t="str">
        <x:v>Straightforward.</x:v>
      </x:c>
    </x:row>
    <x:row r="9">
      <x:c r="A9" s="12" t="str">
        <x:v>L006</x:v>
      </x:c>
      <x:c r="B9" s="12" t="str">
        <x:v>T006</x:v>
      </x:c>
      <x:c r="C9" s="12" t="str">
        <x:v>BC Cedar Grove LLC</x:v>
      </x:c>
      <x:c r="D9" s="14" t="n">
        <x:v>44256</x:v>
      </x:c>
      <x:c r="E9" s="14" t="n">
        <x:v>44348</x:v>
      </x:c>
      <x:c r="F9" s="14" t="n">
        <x:v>46904</x:v>
      </x:c>
      <x:c r="G9" s="54" t="n">
        <x:v>31</x:v>
      </x:c>
      <x:c r="H9" s="12" t="str">
        <x:v>3% annual</x:v>
      </x:c>
      <x:c r="I9" s="12" t="str">
        <x:v>1 x 5-year at FMV</x:v>
      </x:c>
      <x:c r="J9" s="12" t="str">
        <x:v>None</x:v>
      </x:c>
      <x:c r="K9" s="12" t="str">
        <x:v>NNN</x:v>
      </x:c>
      <x:c r="L9" s="12" t="str">
        <x:v>Personal guaranty burns off after 36 months if no default</x:v>
      </x:c>
      <x:c r="M9" s="12" t="str">
        <x:v>Consent required</x:v>
      </x:c>
      <x:c r="N9" s="12" t="str">
        <x:v>None</x:v>
      </x:c>
      <x:c r="O9" s="12" t="str">
        <x:v>Straightforward.</x:v>
      </x:c>
    </x:row>
    <x:row r="10">
      <x:c r="A10" s="12" t="str">
        <x:v>L007</x:v>
      </x:c>
      <x:c r="B10" s="12" t="str">
        <x:v>T007</x:v>
      </x:c>
      <x:c r="C10" s="12" t="str">
        <x:v>Family Dental of Cedar Grove PLLC</x:v>
      </x:c>
      <x:c r="D10" s="14" t="n">
        <x:v>43013</x:v>
      </x:c>
      <x:c r="E10" s="14" t="n">
        <x:v>43101</x:v>
      </x:c>
      <x:c r="F10" s="70" t="n">
        <x:v>46752</x:v>
      </x:c>
      <x:c r="G10" s="71" t="n">
        <x:v>30</x:v>
      </x:c>
      <x:c r="H10" s="68" t="str">
        <x:v>2.5% annual</x:v>
      </x:c>
      <x:c r="I10" s="68" t="str">
        <x:v>1 x 5-year at FMV</x:v>
      </x:c>
      <x:c r="J10" s="68" t="str">
        <x:v>None</x:v>
      </x:c>
      <x:c r="K10" s="68" t="str">
        <x:v>NNN</x:v>
      </x:c>
      <x:c r="L10" s="68" t="str">
        <x:v>Personal guaranty</x:v>
      </x:c>
      <x:c r="M10" s="68" t="str">
        <x:v>Consent required</x:v>
      </x:c>
      <x:c r="N10" s="68" t="str">
        <x:v>Amend.1 1/1/2023 only adjusts premises signage</x:v>
      </x:c>
      <x:c r="O10" s="68" t="str">
        <x:v>Rent roll date is wrong; no amendment extends lease.</x:v>
      </x:c>
    </x:row>
    <x:row r="11">
      <x:c r="A11" s="12" t="str">
        <x:v>L008</x:v>
      </x:c>
      <x:c r="B11" s="12" t="str">
        <x:v>T008</x:v>
      </x:c>
      <x:c r="C11" s="12" t="str">
        <x:v>First Community Bank of Texas</x:v>
      </x:c>
      <x:c r="D11" s="14" t="n">
        <x:v>44440</x:v>
      </x:c>
      <x:c r="E11" s="14" t="n">
        <x:v>44593</x:v>
      </x:c>
      <x:c r="F11" s="14" t="n">
        <x:v>47879</x:v>
      </x:c>
      <x:c r="G11" s="54" t="n">
        <x:v>38</x:v>
      </x:c>
      <x:c r="H11" s="12" t="str">
        <x:v>2% annual</x:v>
      </x:c>
      <x:c r="I11" s="12" t="str">
        <x:v>2 x 5-year</x:v>
      </x:c>
      <x:c r="J11" s="12" t="str">
        <x:v>None</x:v>
      </x:c>
      <x:c r="K11" s="12" t="str">
        <x:v>NNN</x:v>
      </x:c>
      <x:c r="L11" s="12" t="str">
        <x:v>None; regulated bank tenant</x:v>
      </x:c>
      <x:c r="M11" s="12" t="str">
        <x:v>Broad permitted assignment</x:v>
      </x:c>
      <x:c r="N11" s="12" t="str">
        <x:v>None</x:v>
      </x:c>
      <x:c r="O11" s="12" t="str">
        <x:v>Straightforward.</x:v>
      </x:c>
    </x:row>
    <x:row r="12">
      <x:c r="A12" s="12" t="str">
        <x:v>L009</x:v>
      </x:c>
      <x:c r="B12" s="12" t="str">
        <x:v>T009</x:v>
      </x:c>
      <x:c r="C12" s="12" t="str">
        <x:v>Sakura Hospitality LLC</x:v>
      </x:c>
      <x:c r="D12" s="14" t="n">
        <x:v>45413</x:v>
      </x:c>
      <x:c r="E12" s="14" t="n">
        <x:v>45536</x:v>
      </x:c>
      <x:c r="F12" s="14" t="n">
        <x:v>47361</x:v>
      </x:c>
      <x:c r="G12" s="54" t="n">
        <x:v>34</x:v>
      </x:c>
      <x:c r="H12" s="12" t="str">
        <x:v>3% annual</x:v>
      </x:c>
      <x:c r="I12" s="12" t="str">
        <x:v>1 x 5-year</x:v>
      </x:c>
      <x:c r="J12" s="12" t="str">
        <x:v>Kick-out after month 36 if gross sales below threshold for 12 months</x:v>
      </x:c>
      <x:c r="K12" s="12" t="str">
        <x:v>NNN</x:v>
      </x:c>
      <x:c r="L12" s="12" t="str">
        <x:v>Personal guaranty 24 months</x:v>
      </x:c>
      <x:c r="M12" s="12" t="str">
        <x:v>Consent required</x:v>
      </x:c>
      <x:c r="N12" s="12" t="str">
        <x:v>None</x:v>
      </x:c>
      <x:c r="O12" s="12" t="str">
        <x:v>Low-to-medium risk clause; sales data needed to assess.</x:v>
      </x:c>
    </x:row>
    <x:row r="13">
      <x:c r="A13" s="12" t="str">
        <x:v>L010</x:v>
      </x:c>
      <x:c r="B13" s="12" t="str">
        <x:v>T010</x:v>
      </x:c>
      <x:c r="C13" s="12" t="str">
        <x:v>Polished Cedar Grove LLC</x:v>
      </x:c>
      <x:c r="D13" s="14" t="n">
        <x:v>44805</x:v>
      </x:c>
      <x:c r="E13" s="14" t="n">
        <x:v>44927</x:v>
      </x:c>
      <x:c r="F13" s="14" t="n">
        <x:v>46752</x:v>
      </x:c>
      <x:c r="G13" s="54" t="n">
        <x:v>29</x:v>
      </x:c>
      <x:c r="H13" s="12" t="str">
        <x:v>3% annual</x:v>
      </x:c>
      <x:c r="I13" s="12" t="str">
        <x:v>1 x 3-year</x:v>
      </x:c>
      <x:c r="J13" s="12" t="str">
        <x:v>None</x:v>
      </x:c>
      <x:c r="K13" s="12" t="str">
        <x:v>NNN</x:v>
      </x:c>
      <x:c r="L13" s="12" t="str">
        <x:v>Personal guaranty</x:v>
      </x:c>
      <x:c r="M13" s="12" t="str">
        <x:v>Consent required</x:v>
      </x:c>
      <x:c r="N13" s="12" t="str">
        <x:v>None</x:v>
      </x:c>
      <x:c r="O13" s="12" t="str">
        <x:v>Near-term rollover.</x:v>
      </x:c>
    </x:row>
    <x:row r="14">
      <x:c r="A14" s="12" t="str">
        <x:v>L011</x:v>
      </x:c>
      <x:c r="B14" s="12" t="str">
        <x:v>T011</x:v>
      </x:c>
      <x:c r="C14" s="12" t="str">
        <x:v>Wireless Hub DFW LLC</x:v>
      </x:c>
      <x:c r="D14" s="14" t="n">
        <x:v>44044</x:v>
      </x:c>
      <x:c r="E14" s="14" t="n">
        <x:v>44136</x:v>
      </x:c>
      <x:c r="F14" s="14" t="n">
        <x:v>46326</x:v>
      </x:c>
      <x:c r="G14" s="54" t="n">
        <x:v>36</x:v>
      </x:c>
      <x:c r="H14" s="12" t="str">
        <x:v>3% annual</x:v>
      </x:c>
      <x:c r="I14" s="12" t="str">
        <x:v>1 x 5-year; notice due 4/30/26</x:v>
      </x:c>
      <x:c r="J14" s="12" t="str">
        <x:v>None</x:v>
      </x:c>
      <x:c r="K14" s="12" t="str">
        <x:v>NNN</x:v>
      </x:c>
      <x:c r="L14" s="12" t="str">
        <x:v>Parent guaranty</x:v>
      </x:c>
      <x:c r="M14" s="12" t="str">
        <x:v>Affiliate transfers allowed</x:v>
      </x:c>
      <x:c r="N14" s="12" t="str">
        <x:v>None</x:v>
      </x:c>
      <x:c r="O14" s="68" t="str">
        <x:v>Renewal notice deadline passed with no executed extension in file.</x:v>
      </x:c>
    </x:row>
    <x:row r="15">
      <x:c r="A15" s="12" t="str">
        <x:v>L012</x:v>
      </x:c>
      <x:c r="B15" s="12" t="str">
        <x:v>T012</x:v>
      </x:c>
      <x:c r="C15" s="12" t="str">
        <x:v>ClearView Optometry PLLC</x:v>
      </x:c>
      <x:c r="D15" s="14" t="n">
        <x:v>44180</x:v>
      </x:c>
      <x:c r="E15" s="14" t="n">
        <x:v>44287</x:v>
      </x:c>
      <x:c r="F15" s="14" t="n">
        <x:v>46843</x:v>
      </x:c>
      <x:c r="G15" s="54" t="n">
        <x:v>33</x:v>
      </x:c>
      <x:c r="H15" s="12" t="str">
        <x:v>3% annual</x:v>
      </x:c>
      <x:c r="I15" s="12" t="str">
        <x:v>1 x 5-year</x:v>
      </x:c>
      <x:c r="J15" s="12" t="str">
        <x:v>None</x:v>
      </x:c>
      <x:c r="K15" s="12" t="str">
        <x:v>NNN</x:v>
      </x:c>
      <x:c r="L15" s="12" t="str">
        <x:v>Personal guaranty</x:v>
      </x:c>
      <x:c r="M15" s="12" t="str">
        <x:v>Consent required</x:v>
      </x:c>
      <x:c r="N15" s="12" t="str">
        <x:v>None</x:v>
      </x:c>
      <x:c r="O15" s="12" t="str">
        <x:v>Straightforward.</x:v>
      </x:c>
    </x:row>
    <x:row r="16">
      <x:c r="A16" s="12" t="str">
        <x:v>L013</x:v>
      </x:c>
      <x:c r="B16" s="12" t="str">
        <x:v>T013</x:v>
      </x:c>
      <x:c r="C16" s="12" t="str">
        <x:v>MathWorks Learning Center LLC</x:v>
      </x:c>
      <x:c r="D16" s="14" t="n">
        <x:v>45170</x:v>
      </x:c>
      <x:c r="E16" s="14" t="n">
        <x:v>45292</x:v>
      </x:c>
      <x:c r="F16" s="14" t="n">
        <x:v>47483</x:v>
      </x:c>
      <x:c r="G16" s="54" t="n">
        <x:v>27</x:v>
      </x:c>
      <x:c r="H16" s="12" t="str">
        <x:v>3% annual</x:v>
      </x:c>
      <x:c r="I16" s="12" t="str">
        <x:v>1 x 5-year</x:v>
      </x:c>
      <x:c r="J16" s="12" t="str">
        <x:v>None</x:v>
      </x:c>
      <x:c r="K16" s="12" t="str">
        <x:v>NNN</x:v>
      </x:c>
      <x:c r="L16" s="12" t="str">
        <x:v>Personal guaranty</x:v>
      </x:c>
      <x:c r="M16" s="12" t="str">
        <x:v>Consent required</x:v>
      </x:c>
      <x:c r="N16" s="12" t="str">
        <x:v>None</x:v>
      </x:c>
      <x:c r="O16" s="12" t="str">
        <x:v>Straightforward.</x:v>
      </x:c>
    </x:row>
    <x:row r="17">
      <x:c r="A17" s="12" t="str">
        <x:v>L014</x:v>
      </x:c>
      <x:c r="B17" s="12" t="str">
        <x:v>T014</x:v>
      </x:c>
      <x:c r="C17" s="12" t="str">
        <x:v>Cedar Grove Cleaners LLC</x:v>
      </x:c>
      <x:c r="D17" s="14" t="n">
        <x:v>43556</x:v>
      </x:c>
      <x:c r="E17" s="14" t="n">
        <x:v>43647</x:v>
      </x:c>
      <x:c r="F17" s="14" t="n">
        <x:v>46568</x:v>
      </x:c>
      <x:c r="G17" s="54" t="n">
        <x:v>28</x:v>
      </x:c>
      <x:c r="H17" s="12" t="str">
        <x:v>2.5% annual</x:v>
      </x:c>
      <x:c r="I17" s="12" t="str">
        <x:v>1 x 5-year</x:v>
      </x:c>
      <x:c r="J17" s="12" t="str">
        <x:v>None</x:v>
      </x:c>
      <x:c r="K17" s="12" t="str">
        <x:v>NNN</x:v>
      </x:c>
      <x:c r="L17" s="12" t="str">
        <x:v>Personal guaranty</x:v>
      </x:c>
      <x:c r="M17" s="12" t="str">
        <x:v>Consent required</x:v>
      </x:c>
      <x:c r="N17" s="12" t="str">
        <x:v>None</x:v>
      </x:c>
      <x:c r="O17" s="12" t="str">
        <x:v>Near-term rollover.</x:v>
      </x:c>
    </x:row>
    <x:row r="18">
      <x:c r="A18" s="12" t="str">
        <x:v>L015</x:v>
      </x:c>
      <x:c r="B18" s="12" t="str">
        <x:v>T015</x:v>
      </x:c>
      <x:c r="C18" s="12" t="str">
        <x:v>Lone Star Insurance Agency LLC</x:v>
      </x:c>
      <x:c r="D18" s="14" t="n">
        <x:v>44531</x:v>
      </x:c>
      <x:c r="E18" s="14" t="n">
        <x:v>44621</x:v>
      </x:c>
      <x:c r="F18" s="14" t="n">
        <x:v>46446</x:v>
      </x:c>
      <x:c r="G18" s="54" t="n">
        <x:v>26</x:v>
      </x:c>
      <x:c r="H18" s="12" t="str">
        <x:v>3% annual</x:v>
      </x:c>
      <x:c r="I18" s="12" t="str">
        <x:v>1 x 5-year</x:v>
      </x:c>
      <x:c r="J18" s="12" t="str">
        <x:v>None</x:v>
      </x:c>
      <x:c r="K18" s="12" t="str">
        <x:v>NNN</x:v>
      </x:c>
      <x:c r="L18" s="12" t="str">
        <x:v>Personal guaranty</x:v>
      </x:c>
      <x:c r="M18" s="12" t="str">
        <x:v>Consent required</x:v>
      </x:c>
      <x:c r="N18" s="12" t="str">
        <x:v>None</x:v>
      </x:c>
      <x:c r="O18" s="12" t="str">
        <x:v>Near-term rollover.</x:v>
      </x:c>
    </x:row>
    <x:row r="19">
      <x:c r="A19" s="12" t="str">
        <x:v>L016</x:v>
      </x:c>
      <x:c r="B19" s="12" t="str">
        <x:v>T016</x:v>
      </x:c>
      <x:c r="C19" s="12" t="str">
        <x:v>Pressed &amp; Poured LLC</x:v>
      </x:c>
      <x:c r="D19" s="14" t="n">
        <x:v>45870</x:v>
      </x:c>
      <x:c r="E19" s="14" t="n">
        <x:v>45962</x:v>
      </x:c>
      <x:c r="F19" s="14" t="n">
        <x:v>47787</x:v>
      </x:c>
      <x:c r="G19" s="54" t="n">
        <x:v>40</x:v>
      </x:c>
      <x:c r="H19" s="12" t="str">
        <x:v>3% annual starting 11/1/26</x:v>
      </x:c>
      <x:c r="I19" s="12" t="str">
        <x:v>1 x 5-year</x:v>
      </x:c>
      <x:c r="J19" s="12" t="str">
        <x:v>None</x:v>
      </x:c>
      <x:c r="K19" s="12" t="str">
        <x:v>NNN</x:v>
      </x:c>
      <x:c r="L19" s="12" t="str">
        <x:v>Personal guaranty</x:v>
      </x:c>
      <x:c r="M19" s="12" t="str">
        <x:v>Consent required</x:v>
      </x:c>
      <x:c r="N19" s="12" t="str">
        <x:v>Commencement letter 11/1/25</x:v>
      </x:c>
      <x:c r="O19" s="12" t="str">
        <x:v>Four months base-rent abatement through 2/29/26; rent commencement 3/1/26. Current $40/SF is valid.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66" hidden="0" customWidth="1"/>
  </x:cols>
  <x:sheetData>
    <x:row r="1" ht="28" customHeight="1">
      <x:c r="A1" s="5" t="str">
        <x:v>Property Operating Statements — Historical and TTM</x:v>
      </x:c>
      <x:c r="B1" s="5"/>
      <x:c r="C1" s="5"/>
      <x:c r="D1" s="5"/>
      <x:c r="E1" s="5"/>
      <x:c r="F1" s="5"/>
      <x:c r="G1" s="5"/>
      <x:c r="H1" s="5"/>
    </x:row>
    <x:row r="3">
      <x:c r="A3" s="27" t="str">
        <x:v>Line Item</x:v>
      </x:c>
      <x:c r="B3" s="27" t="str">
        <x:v>2023</x:v>
      </x:c>
      <x:c r="C3" s="27" t="str">
        <x:v>2024</x:v>
      </x:c>
      <x:c r="D3" s="27" t="str">
        <x:v>2025</x:v>
      </x:c>
      <x:c r="E3" s="27" t="str">
        <x:v>YTD Aug-2026</x:v>
      </x:c>
      <x:c r="F3" s="27" t="str">
        <x:v>TTM Aug-2026</x:v>
      </x:c>
      <x:c r="G3" s="27" t="str">
        <x:v>Canonical Treatment / Note</x:v>
      </x:c>
    </x:row>
    <x:row r="4">
      <x:c r="A4" s="12" t="str">
        <x:v>Base rent</x:v>
      </x:c>
      <x:c r="B4" s="41" t="n">
        <x:v>2290000</x:v>
      </x:c>
      <x:c r="C4" s="41" t="n">
        <x:v>2265000</x:v>
      </x:c>
      <x:c r="D4" s="41" t="n">
        <x:v>2205000</x:v>
      </x:c>
      <x:c r="E4" s="41" t="n">
        <x:v>1425000</x:v>
      </x:c>
      <x:c r="F4" s="41" t="n">
        <x:v>2110000</x:v>
      </x:c>
      <x:c r="G4" s="12" t="str">
        <x:v>Actual billed/collected base rent; below contractual annualized rent due to vacancy, free rent, and timing.</x:v>
      </x:c>
    </x:row>
    <x:row r="5">
      <x:c r="A5" s="12" t="str">
        <x:v>CAM / expense reimbursements</x:v>
      </x:c>
      <x:c r="B5" s="41" t="n">
        <x:v>715000</x:v>
      </x:c>
      <x:c r="C5" s="41" t="n">
        <x:v>692000</x:v>
      </x:c>
      <x:c r="D5" s="41" t="n">
        <x:v>665000</x:v>
      </x:c>
      <x:c r="E5" s="41" t="n">
        <x:v>406000</x:v>
      </x:c>
      <x:c r="F5" s="74" t="n">
        <x:v>625000</x:v>
      </x:c>
      <x:c r="G5" s="12" t="str">
        <x:v>Current contractual potential is higher; recovery gap requires explanation.</x:v>
      </x:c>
    </x:row>
    <x:row r="6">
      <x:c r="A6" s="12" t="str">
        <x:v>Other income</x:v>
      </x:c>
      <x:c r="B6" s="41" t="n">
        <x:v>95000</x:v>
      </x:c>
      <x:c r="C6" s="41" t="n">
        <x:v>92000</x:v>
      </x:c>
      <x:c r="D6" s="41" t="n">
        <x:v>88000</x:v>
      </x:c>
      <x:c r="E6" s="41" t="n">
        <x:v>54000</x:v>
      </x:c>
      <x:c r="F6" s="41" t="n">
        <x:v>80000</x:v>
      </x:c>
      <x:c r="G6" s="12" t="str">
        <x:v>Signage, late fees, utility reimbursements, misc.</x:v>
      </x:c>
    </x:row>
    <x:row r="7">
      <x:c r="A7" s="12" t="str">
        <x:v>Gross property revenue</x:v>
      </x:c>
      <x:c r="B7" s="41" t="n">
        <x:f>SUM(B4:B6)</x:f>
        <x:v>3100000</x:v>
      </x:c>
      <x:c r="C7" s="41" t="n">
        <x:f>SUM(C4:C6)</x:f>
        <x:v>3049000</x:v>
      </x:c>
      <x:c r="D7" s="41" t="n">
        <x:f>SUM(D4:D6)</x:f>
        <x:v>2958000</x:v>
      </x:c>
      <x:c r="E7" s="41" t="n">
        <x:f>SUM(E4:E6)</x:f>
        <x:v>1885000</x:v>
      </x:c>
      <x:c r="F7" s="41" t="n">
        <x:f>SUM(F4:F6)</x:f>
        <x:v>2815000</x:v>
      </x:c>
      <x:c r="G7" s="12" t="str"/>
    </x:row>
    <x:row r="8">
      <x:c r="A8" s="12" t="str">
        <x:v>Real estate taxes</x:v>
      </x:c>
      <x:c r="B8" s="41" t="n">
        <x:v>-405000</x:v>
      </x:c>
      <x:c r="C8" s="41" t="n">
        <x:v>-420000</x:v>
      </x:c>
      <x:c r="D8" s="41" t="n">
        <x:v>-442000</x:v>
      </x:c>
      <x:c r="E8" s="41" t="n">
        <x:v>-305000</x:v>
      </x:c>
      <x:c r="F8" s="41" t="n">
        <x:v>-458000</x:v>
      </x:c>
      <x:c r="G8" s="12" t="str">
        <x:v>Operating expense</x:v>
      </x:c>
    </x:row>
    <x:row r="9">
      <x:c r="A9" s="12" t="str">
        <x:v>Insurance</x:v>
      </x:c>
      <x:c r="B9" s="41" t="n">
        <x:v>-97000</x:v>
      </x:c>
      <x:c r="C9" s="41" t="n">
        <x:v>-105000</x:v>
      </x:c>
      <x:c r="D9" s="41" t="n">
        <x:v>-118000</x:v>
      </x:c>
      <x:c r="E9" s="41" t="n">
        <x:v>-86000</x:v>
      </x:c>
      <x:c r="F9" s="41" t="n">
        <x:v>-119000</x:v>
      </x:c>
      <x:c r="G9" s="12" t="str">
        <x:v>Operating expense</x:v>
      </x:c>
    </x:row>
    <x:row r="10">
      <x:c r="A10" s="12" t="str">
        <x:v>Repairs &amp; maintenance</x:v>
      </x:c>
      <x:c r="B10" s="41" t="n">
        <x:v>-150000</x:v>
      </x:c>
      <x:c r="C10" s="41" t="n">
        <x:v>-162000</x:v>
      </x:c>
      <x:c r="D10" s="41" t="n">
        <x:v>-185000</x:v>
      </x:c>
      <x:c r="E10" s="41" t="n">
        <x:v>-144000</x:v>
      </x:c>
      <x:c r="F10" s="74" t="n">
        <x:v>-166000</x:v>
      </x:c>
      <x:c r="G10" s="12" t="str">
        <x:v>Includes $85K roof/HVAC work in TTM that borrower seeks to treat as capital/non-recurring.</x:v>
      </x:c>
    </x:row>
    <x:row r="11">
      <x:c r="A11" s="12" t="str">
        <x:v>Utilities</x:v>
      </x:c>
      <x:c r="B11" s="41" t="n">
        <x:v>-91000</x:v>
      </x:c>
      <x:c r="C11" s="41" t="n">
        <x:v>-95000</x:v>
      </x:c>
      <x:c r="D11" s="41" t="n">
        <x:v>-103000</x:v>
      </x:c>
      <x:c r="E11" s="41" t="n">
        <x:v>-72000</x:v>
      </x:c>
      <x:c r="F11" s="41" t="n">
        <x:v>-108000</x:v>
      </x:c>
      <x:c r="G11" s="12" t="str">
        <x:v>Operating expense</x:v>
      </x:c>
    </x:row>
    <x:row r="12">
      <x:c r="A12" s="12" t="str">
        <x:v>Property management</x:v>
      </x:c>
      <x:c r="B12" s="41" t="n">
        <x:v>-91000</x:v>
      </x:c>
      <x:c r="C12" s="41" t="n">
        <x:v>-90000</x:v>
      </x:c>
      <x:c r="D12" s="41" t="n">
        <x:v>-89000</x:v>
      </x:c>
      <x:c r="E12" s="41" t="n">
        <x:v>-60000</x:v>
      </x:c>
      <x:c r="F12" s="41" t="n">
        <x:v>-92000</x:v>
      </x:c>
      <x:c r="G12" s="12" t="str">
        <x:v>Approximately 3% of EGI.</x:v>
      </x:c>
    </x:row>
    <x:row r="13">
      <x:c r="A13" s="12" t="str">
        <x:v>Payroll / admin</x:v>
      </x:c>
      <x:c r="B13" s="41" t="n">
        <x:v>-88000</x:v>
      </x:c>
      <x:c r="C13" s="41" t="n">
        <x:v>-94000</x:v>
      </x:c>
      <x:c r="D13" s="41" t="n">
        <x:v>-98000</x:v>
      </x:c>
      <x:c r="E13" s="41" t="n">
        <x:v>-66000</x:v>
      </x:c>
      <x:c r="F13" s="41" t="n">
        <x:v>-101000</x:v>
      </x:c>
      <x:c r="G13" s="12" t="str">
        <x:v>Operating expense</x:v>
      </x:c>
    </x:row>
    <x:row r="14">
      <x:c r="A14" s="12" t="str">
        <x:v>Landscaping / janitorial / security</x:v>
      </x:c>
      <x:c r="B14" s="41" t="n">
        <x:v>-76000</x:v>
      </x:c>
      <x:c r="C14" s="41" t="n">
        <x:v>-82000</x:v>
      </x:c>
      <x:c r="D14" s="41" t="n">
        <x:v>-87000</x:v>
      </x:c>
      <x:c r="E14" s="41" t="n">
        <x:v>-61000</x:v>
      </x:c>
      <x:c r="F14" s="41" t="n">
        <x:v>-78000</x:v>
      </x:c>
      <x:c r="G14" s="12" t="str">
        <x:v>Operating expense</x:v>
      </x:c>
    </x:row>
    <x:row r="15">
      <x:c r="A15" s="12" t="str">
        <x:v>Other operating expense</x:v>
      </x:c>
      <x:c r="B15" s="41" t="n">
        <x:v>-78000</x:v>
      </x:c>
      <x:c r="C15" s="41" t="n">
        <x:v>-86000</x:v>
      </x:c>
      <x:c r="D15" s="41" t="n">
        <x:v>-92000</x:v>
      </x:c>
      <x:c r="E15" s="41" t="n">
        <x:v>-59000</x:v>
      </x:c>
      <x:c r="F15" s="41" t="n">
        <x:v>-58000</x:v>
      </x:c>
      <x:c r="G15" s="12" t="str">
        <x:v>Operating expense</x:v>
      </x:c>
    </x:row>
    <x:row r="16">
      <x:c r="A16" s="55" t="str">
        <x:v>Total operating expenses</x:v>
      </x:c>
      <x:c r="B16" s="58" t="n">
        <x:f>SUM(B8:B15)</x:f>
        <x:v>-1076000</x:v>
      </x:c>
      <x:c r="C16" s="58" t="n">
        <x:f>SUM(C8:C15)</x:f>
        <x:v>-1134000</x:v>
      </x:c>
      <x:c r="D16" s="58" t="n">
        <x:f>SUM(D8:D15)</x:f>
        <x:v>-1214000</x:v>
      </x:c>
      <x:c r="E16" s="58" t="n">
        <x:f>SUM(E8:E15)</x:f>
        <x:v>-853000</x:v>
      </x:c>
      <x:c r="F16" s="58" t="n">
        <x:f>SUM(F8:F15)</x:f>
        <x:v>-1180000</x:v>
      </x:c>
      <x:c r="G16" s="12" t="str"/>
    </x:row>
    <x:row r="17">
      <x:c r="A17" s="55" t="str">
        <x:v>Property NOI</x:v>
      </x:c>
      <x:c r="B17" s="58" t="n">
        <x:f>B7+B16</x:f>
        <x:v>2024000</x:v>
      </x:c>
      <x:c r="C17" s="58" t="n">
        <x:f>C7+C16</x:f>
        <x:v>1915000</x:v>
      </x:c>
      <x:c r="D17" s="58" t="n">
        <x:f>D7+D16</x:f>
        <x:v>1744000</x:v>
      </x:c>
      <x:c r="E17" s="58" t="n">
        <x:f>E7+E16</x:f>
        <x:v>1032000</x:v>
      </x:c>
      <x:c r="F17" s="58" t="n">
        <x:f>F7+F16</x:f>
        <x:v>1635000</x:v>
      </x:c>
      <x:c r="G17" s="12" t="str">
        <x:v>NOI before debt service, depreciation, TI/LC and replacement reserves.</x:v>
      </x:c>
    </x:row>
    <x:row r="18">
      <x:c r="A18" s="12" t="str">
        <x:v>Occupancy</x:v>
      </x:c>
      <x:c r="B18" s="40" t="n">
        <x:v>0.965</x:v>
      </x:c>
      <x:c r="C18" s="40" t="n">
        <x:v>0.948</x:v>
      </x:c>
      <x:c r="D18" s="40" t="n">
        <x:v>0.936</x:v>
      </x:c>
      <x:c r="E18" s="40" t="n">
        <x:v>0.9212</x:v>
      </x:c>
      <x:c r="F18" s="40" t="n">
        <x:v>0.9212</x:v>
      </x:c>
      <x:c r="G18" s="12" t="str">
        <x:v>Current physical occupancy ties to 8/31/26 rent roll.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68" hidden="0" customWidth="1"/>
  </x:cols>
  <x:sheetData>
    <x:row r="1" ht="28" customHeight="1">
      <x:c r="A1" s="5" t="str">
        <x:v>Cedar Grove Marketplace LLC — Borrower / SPE Financials</x:v>
      </x:c>
      <x:c r="B1" s="5"/>
      <x:c r="C1" s="5"/>
      <x:c r="D1" s="5"/>
      <x:c r="E1" s="5"/>
      <x:c r="F1" s="5"/>
      <x:c r="G1" s="5"/>
      <x:c r="H1" s="5"/>
    </x:row>
    <x:row r="3">
      <x:c r="A3" s="78" t="str">
        <x:v>Balance Sheet — 8/31/2026</x:v>
      </x:c>
      <x:c r="B3" s="78" t="str"/>
      <x:c r="C3" s="78" t="str"/>
    </x:row>
    <x:row r="4">
      <x:c r="A4" s="27" t="str">
        <x:v>Asset / Liability</x:v>
      </x:c>
      <x:c r="B4" s="27" t="str">
        <x:v>Amount ($)</x:v>
      </x:c>
      <x:c r="C4" s="27" t="str">
        <x:v>Canonical Note</x:v>
      </x:c>
    </x:row>
    <x:row r="5">
      <x:c r="A5" s="12" t="str">
        <x:v>Cash</x:v>
      </x:c>
      <x:c r="B5" s="41" t="n">
        <x:v>620000</x:v>
      </x:c>
      <x:c r="C5" s="12" t="str">
        <x:v>Unrestricted operating cash.</x:v>
      </x:c>
    </x:row>
    <x:row r="6">
      <x:c r="A6" s="12" t="str">
        <x:v>Tenant receivables</x:v>
      </x:c>
      <x:c r="B6" s="41" t="n">
        <x:v>285000</x:v>
      </x:c>
      <x:c r="C6" s="12" t="str">
        <x:v>Includes ~$96K &gt;60 days past due; not separately disclosed in borrower cover letter.</x:v>
      </x:c>
    </x:row>
    <x:row r="7">
      <x:c r="A7" s="12" t="str">
        <x:v>Prepaids / escrows</x:v>
      </x:c>
      <x:c r="B7" s="41" t="n">
        <x:v>110000</x:v>
      </x:c>
      <x:c r="C7" s="12" t="str">
        <x:v>Tax/insurance and other prepaids.</x:v>
      </x:c>
    </x:row>
    <x:row r="8">
      <x:c r="A8" s="12" t="str">
        <x:v>Real estate, net</x:v>
      </x:c>
      <x:c r="B8" s="41" t="n">
        <x:v>15900000</x:v>
      </x:c>
      <x:c r="C8" s="12" t="str">
        <x:v>Book value, not market value.</x:v>
      </x:c>
    </x:row>
    <x:row r="9">
      <x:c r="A9" s="12" t="str">
        <x:v>Other assets</x:v>
      </x:c>
      <x:c r="B9" s="41" t="n">
        <x:v>95000</x:v>
      </x:c>
      <x:c r="C9" s="12" t="str">
        <x:v>Deposits / deferred charges.</x:v>
      </x:c>
    </x:row>
    <x:row r="10">
      <x:c r="A10" s="55" t="str">
        <x:v>Total assets</x:v>
      </x:c>
      <x:c r="B10" s="58" t="n">
        <x:f>SUM(B5:B9)</x:f>
        <x:v>17010000</x:v>
      </x:c>
      <x:c r="C10" s="12" t="str"/>
    </x:row>
    <x:row r="11">
      <x:c r="A11" s="12" t="str">
        <x:v>Accounts payable</x:v>
      </x:c>
      <x:c r="B11" s="41" t="n">
        <x:v>190000</x:v>
      </x:c>
      <x:c r="C11" s="12" t="str">
        <x:v>Trade payables.</x:v>
      </x:c>
    </x:row>
    <x:row r="12">
      <x:c r="A12" s="12" t="str">
        <x:v>Accrued expenses</x:v>
      </x:c>
      <x:c r="B12" s="41" t="n">
        <x:v>145000</x:v>
      </x:c>
      <x:c r="C12" s="12" t="str">
        <x:v>Operating accruals.</x:v>
      </x:c>
    </x:row>
    <x:row r="13">
      <x:c r="A13" s="12" t="str">
        <x:v>Tenant security deposits</x:v>
      </x:c>
      <x:c r="B13" s="41" t="n">
        <x:v>240000</x:v>
      </x:c>
      <x:c r="C13" s="12" t="str">
        <x:v>Liability.</x:v>
      </x:c>
    </x:row>
    <x:row r="14">
      <x:c r="A14" s="12" t="str">
        <x:v>Mortgage payable</x:v>
      </x:c>
      <x:c r="B14" s="41" t="n">
        <x:v>11120000</x:v>
      </x:c>
      <x:c r="C14" s="12" t="str">
        <x:v>8/31/26 carrying balance.</x:v>
      </x:c>
    </x:row>
    <x:row r="15">
      <x:c r="A15" s="66" t="str">
        <x:v>Due to affiliate — Redwood Creek Holdings</x:v>
      </x:c>
      <x:c r="B15" s="80" t="n">
        <x:v>550000</x:v>
      </x:c>
      <x:c r="C15" s="66" t="str">
        <x:v>Subordinated related-party note; omitted from borrower debt schedule.</x:v>
      </x:c>
    </x:row>
    <x:row r="16">
      <x:c r="A16" s="55" t="str">
        <x:v>Member equity</x:v>
      </x:c>
      <x:c r="B16" s="58" t="n">
        <x:f>B10-SUM(B11:B15)</x:f>
        <x:v>4765000</x:v>
      </x:c>
      <x:c r="C16" s="12" t="str">
        <x:v>Residual.</x:v>
      </x:c>
    </x:row>
    <x:row r="17">
      <x:c r="A17" s="12" t="str">
        <x:v>Total liabilities &amp; equity</x:v>
      </x:c>
      <x:c r="B17" s="41" t="n">
        <x:f>SUM(B11:B16)</x:f>
        <x:v>17010000</x:v>
      </x:c>
      <x:c r="C17" s="12" t="str"/>
    </x:row>
    <x:row r="18">
      <x:c r="A18" s="12" t="str"/>
      <x:c r="B18" s="41" t="str"/>
      <x:c r="C18" s="12" t="str"/>
    </x:row>
    <x:row r="19">
      <x:c r="A19" s="27" t="str">
        <x:v>Income Statement / TTM Aug-2026</x:v>
      </x:c>
      <x:c r="B19" s="76" t="str">
        <x:v>Amount ($)</x:v>
      </x:c>
      <x:c r="C19" s="27" t="str">
        <x:v>Canonical Note</x:v>
      </x:c>
    </x:row>
    <x:row r="20">
      <x:c r="A20" s="12" t="str">
        <x:v>Property NOI</x:v>
      </x:c>
      <x:c r="B20" s="41" t="n">
        <x:f>Operating_History!F17</x:f>
        <x:v>1635000</x:v>
      </x:c>
      <x:c r="C20" s="12" t="str">
        <x:v>Before interest/depreciation.</x:v>
      </x:c>
    </x:row>
    <x:row r="21">
      <x:c r="A21" s="12" t="str">
        <x:v>Interest expense</x:v>
      </x:c>
      <x:c r="B21" s="41" t="n">
        <x:v>-604000</x:v>
      </x:c>
      <x:c r="C21" s="12" t="str">
        <x:v>Existing debt interest.</x:v>
      </x:c>
    </x:row>
    <x:row r="22">
      <x:c r="A22" s="12" t="str">
        <x:v>Depreciation &amp; amortization</x:v>
      </x:c>
      <x:c r="B22" s="41" t="n">
        <x:v>-510000</x:v>
      </x:c>
      <x:c r="C22" s="12" t="str">
        <x:v>Non-cash.</x:v>
      </x:c>
    </x:row>
    <x:row r="23">
      <x:c r="A23" s="12" t="str">
        <x:v>Other / non-property income</x:v>
      </x:c>
      <x:c r="B23" s="41" t="n">
        <x:v>25000</x:v>
      </x:c>
      <x:c r="C23" s="12" t="str">
        <x:v>Minor.</x:v>
      </x:c>
    </x:row>
    <x:row r="24">
      <x:c r="A24" s="55" t="str">
        <x:v>Net income</x:v>
      </x:c>
      <x:c r="B24" s="58" t="n">
        <x:f>SUM(B20:B23)</x:f>
        <x:v>546000</x:v>
      </x:c>
      <x:c r="C24" s="12" t="str"/>
    </x:row>
    <x:row r="25">
      <x:c r="A25" s="12"/>
      <x:c r="B25" s="41"/>
      <x:c r="C25" s="12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0" hidden="0" customWidth="1"/>
    <x:col min="4" max="4" width="24" hidden="0" customWidth="1"/>
    <x:col min="5" max="5" width="13" hidden="0" customWidth="1"/>
    <x:col min="6" max="6" width="18" hidden="0" customWidth="1"/>
    <x:col min="7" max="7" width="18" hidden="0" customWidth="1"/>
    <x:col min="8" max="8" width="10" hidden="0" customWidth="1"/>
    <x:col min="9" max="9" width="13" hidden="0" customWidth="1"/>
    <x:col min="10" max="10" width="34" hidden="0" customWidth="1"/>
    <x:col min="11" max="11" width="16" hidden="0" customWidth="1"/>
    <x:col min="12" max="12" width="68" hidden="0" customWidth="1"/>
  </x:cols>
  <x:sheetData>
    <x:row r="1" ht="28" customHeight="1">
      <x:c r="A1" s="5" t="str">
        <x:v>Borrower-Submitted Debt Schedule vs Canonical Debt Obligations</x:v>
      </x:c>
      <x:c r="B1" s="5"/>
      <x:c r="C1" s="5"/>
      <x:c r="D1" s="5"/>
      <x:c r="E1" s="5"/>
      <x:c r="F1" s="5"/>
      <x:c r="G1" s="5"/>
      <x:c r="H1" s="5"/>
    </x:row>
    <x:row r="3">
      <x:c r="A3" s="27" t="str">
        <x:v>Debt ID</x:v>
      </x:c>
      <x:c r="B3" s="27" t="str">
        <x:v>Obligor</x:v>
      </x:c>
      <x:c r="C3" s="27" t="str">
        <x:v>Lender / Payee</x:v>
      </x:c>
      <x:c r="D3" s="27" t="str">
        <x:v>Debt Type</x:v>
      </x:c>
      <x:c r="E3" s="27" t="str">
        <x:v>As-of Date</x:v>
      </x:c>
      <x:c r="F3" s="27" t="str">
        <x:v>Borrower Schedule Balance ($)</x:v>
      </x:c>
      <x:c r="G3" s="27" t="str">
        <x:v>Canonical Balance ($)</x:v>
      </x:c>
      <x:c r="H3" s="27" t="str">
        <x:v>Rate</x:v>
      </x:c>
      <x:c r="I3" s="27" t="str">
        <x:v>Maturity</x:v>
      </x:c>
      <x:c r="J3" s="27" t="str">
        <x:v>Collateral / Priority</x:v>
      </x:c>
      <x:c r="K3" s="27" t="str">
        <x:v>Included on Borrower Schedule?</x:v>
      </x:c>
      <x:c r="L3" s="27" t="str">
        <x:v>Canonical Note</x:v>
      </x:c>
    </x:row>
    <x:row r="4">
      <x:c r="A4" s="84" t="str">
        <x:v>D001</x:v>
      </x:c>
      <x:c r="B4" s="84" t="str">
        <x:v>Cedar Grove Marketplace LLC</x:v>
      </x:c>
      <x:c r="C4" s="84" t="str">
        <x:v>TriState Capital Bank</x:v>
      </x:c>
      <x:c r="D4" s="84" t="str">
        <x:v>First mortgage</x:v>
      </x:c>
      <x:c r="E4" s="85" t="n">
        <x:v>46203</x:v>
      </x:c>
      <x:c r="F4" s="86" t="n">
        <x:v>11205000</x:v>
      </x:c>
      <x:c r="G4" s="86" t="n">
        <x:v>11120000</x:v>
      </x:c>
      <x:c r="H4" s="87" t="n">
        <x:v>0.0545</x:v>
      </x:c>
      <x:c r="I4" s="85" t="n">
        <x:v>46295</x:v>
      </x:c>
      <x:c r="J4" s="84" t="str">
        <x:v>1st lien on property + assignment of rents</x:v>
      </x:c>
      <x:c r="K4" s="84" t="str">
        <x:v>Yes</x:v>
      </x:c>
      <x:c r="L4" s="84" t="str">
        <x:v>Balance difference is benign timing/amortization: borrower schedule dated 6/30, SPE BS dated 8/31.</x:v>
      </x:c>
    </x:row>
    <x:row r="5">
      <x:c r="A5" s="66" t="str">
        <x:v>D002</x:v>
      </x:c>
      <x:c r="B5" s="66" t="str">
        <x:v>Cedar Grove Marketplace LLC</x:v>
      </x:c>
      <x:c r="C5" s="66" t="str">
        <x:v>Redwood Creek Real Estate Holdings LLC</x:v>
      </x:c>
      <x:c r="D5" s="66" t="str">
        <x:v>Subordinated affiliate note</x:v>
      </x:c>
      <x:c r="E5" s="64" t="n">
        <x:v>46265</x:v>
      </x:c>
      <x:c r="F5" s="80" t="n">
        <x:v>0</x:v>
      </x:c>
      <x:c r="G5" s="80" t="n">
        <x:v>550000</x:v>
      </x:c>
      <x:c r="H5" s="82" t="n">
        <x:v>0.06</x:v>
      </x:c>
      <x:c r="I5" s="64" t="n">
        <x:v>47118</x:v>
      </x:c>
      <x:c r="J5" s="66" t="str">
        <x:v>Subordinated; unsecured / contractual standstill expected</x:v>
      </x:c>
      <x:c r="K5" s="66" t="str">
        <x:v>No</x:v>
      </x:c>
      <x:c r="L5" s="66" t="str">
        <x:v>Exists on SPE balance sheet and 2024 contribution/advance memo; omitted from debt schedule.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4" hidden="0" customWidth="1"/>
    <x:col min="3" max="3" width="72" hidden="0" customWidth="1"/>
  </x:cols>
  <x:sheetData>
    <x:row r="1" ht="28" customHeight="1">
      <x:c r="A1" s="5" t="str">
        <x:v>Existing / Proposed Loan Terms and Covenant Definitions</x:v>
      </x:c>
      <x:c r="B1" s="5"/>
      <x:c r="C1" s="5"/>
      <x:c r="D1" s="5"/>
      <x:c r="E1" s="5"/>
      <x:c r="F1" s="5"/>
      <x:c r="G1" s="5"/>
      <x:c r="H1" s="5"/>
    </x:row>
    <x:row r="3">
      <x:c r="A3" s="27" t="str">
        <x:v>Term</x:v>
      </x:c>
      <x:c r="B3" s="27" t="str">
        <x:v>Canonical / Legal Value</x:v>
      </x:c>
      <x:c r="C3" s="27" t="str">
        <x:v>Source / Interpretation</x:v>
      </x:c>
    </x:row>
    <x:row r="4">
      <x:c r="A4" s="12" t="str">
        <x:v>Existing loan original amount</x:v>
      </x:c>
      <x:c r="B4" s="41" t="n">
        <x:v>12500000</x:v>
      </x:c>
      <x:c r="C4" s="12" t="str">
        <x:v>Existing loan agreement dated 9/30/2021.</x:v>
      </x:c>
    </x:row>
    <x:row r="5">
      <x:c r="A5" s="12" t="str">
        <x:v>Existing loan origination date</x:v>
      </x:c>
      <x:c r="B5" s="14" t="n">
        <x:v>44469</x:v>
      </x:c>
      <x:c r="C5" s="12" t="str">
        <x:v>Existing loan agreement.</x:v>
      </x:c>
    </x:row>
    <x:row r="6">
      <x:c r="A6" s="12" t="str">
        <x:v>Existing loan maturity</x:v>
      </x:c>
      <x:c r="B6" s="14" t="n">
        <x:v>46295</x:v>
      </x:c>
      <x:c r="C6" s="12" t="str">
        <x:v>Existing loan agreement.</x:v>
      </x:c>
    </x:row>
    <x:row r="7">
      <x:c r="A7" s="12" t="str">
        <x:v>Existing loan rate</x:v>
      </x:c>
      <x:c r="B7" s="40" t="n">
        <x:v>0.0545</x:v>
      </x:c>
      <x:c r="C7" s="12" t="str">
        <x:v>Fixed.</x:v>
      </x:c>
    </x:row>
    <x:row r="8">
      <x:c r="A8" s="12" t="str">
        <x:v>Existing amortization</x:v>
      </x:c>
      <x:c r="B8" s="12" t="n">
        <x:v>25</x:v>
      </x:c>
      <x:c r="C8" s="12" t="str">
        <x:v>Years.</x:v>
      </x:c>
    </x:row>
    <x:row r="9">
      <x:c r="A9" s="12" t="str">
        <x:v>Existing current balance</x:v>
      </x:c>
      <x:c r="B9" s="41" t="n">
        <x:v>11120000</x:v>
      </x:c>
      <x:c r="C9" s="12" t="str">
        <x:v>8/31/26 carrying balance; servicer statement should govern exact payoff.</x:v>
      </x:c>
    </x:row>
    <x:row r="10">
      <x:c r="A10" s="12" t="str">
        <x:v>Requested refinance amount</x:v>
      </x:c>
      <x:c r="B10" s="12" t="n">
        <x:v>12000000</x:v>
      </x:c>
      <x:c r="C10" s="12" t="str">
        <x:v>Borrower request.</x:v>
      </x:c>
    </x:row>
    <x:row r="11">
      <x:c r="A11" s="12" t="str">
        <x:v>Proposed closing date</x:v>
      </x:c>
      <x:c r="B11" s="14" t="n">
        <x:v>46295</x:v>
      </x:c>
      <x:c r="C11" s="12" t="str">
        <x:v>Target.</x:v>
      </x:c>
    </x:row>
    <x:row r="12">
      <x:c r="A12" s="12" t="str">
        <x:v>Proposed fixed rate</x:v>
      </x:c>
      <x:c r="B12" s="40" t="n">
        <x:v>0.0725</x:v>
      </x:c>
      <x:c r="C12" s="12" t="str">
        <x:v>Synthetic proposed term sheet.</x:v>
      </x:c>
    </x:row>
    <x:row r="13">
      <x:c r="A13" s="12" t="str">
        <x:v>Proposed term</x:v>
      </x:c>
      <x:c r="B13" s="12" t="n">
        <x:v>5</x:v>
      </x:c>
      <x:c r="C13" s="12" t="str">
        <x:v>Years.</x:v>
      </x:c>
    </x:row>
    <x:row r="14">
      <x:c r="A14" s="12" t="str">
        <x:v>Proposed amortization</x:v>
      </x:c>
      <x:c r="B14" s="12" t="n">
        <x:v>15</x:v>
      </x:c>
      <x:c r="C14" s="12" t="str">
        <x:v>Years.</x:v>
      </x:c>
    </x:row>
    <x:row r="15">
      <x:c r="A15" s="12" t="str">
        <x:v>Proposed monthly debt service</x:v>
      </x:c>
      <x:c r="B15" s="41" t="n">
        <x:f>-PMT(B12/12,B14*12,B10)</x:f>
        <x:v>109543.54572407833</x:v>
      </x:c>
      <x:c r="C15" s="12" t="str">
        <x:v>Formula.</x:v>
      </x:c>
    </x:row>
    <x:row r="16">
      <x:c r="A16" s="12" t="str">
        <x:v>Proposed annual debt service</x:v>
      </x:c>
      <x:c r="B16" s="41" t="n">
        <x:f>B15*12</x:f>
        <x:v>1314522.54868894</x:v>
      </x:c>
      <x:c r="C16" s="12" t="str">
        <x:v>Formula.</x:v>
      </x:c>
    </x:row>
    <x:row r="17">
      <x:c r="A17" s="12" t="str">
        <x:v>Reporting covenant — rent roll</x:v>
      </x:c>
      <x:c r="B17" s="12" t="str">
        <x:v>Quarterly; within 45 days</x:v>
      </x:c>
      <x:c r="C17" s="12" t="str">
        <x:v>Certified current rent roll.</x:v>
      </x:c>
    </x:row>
    <x:row r="18">
      <x:c r="A18" s="12" t="str">
        <x:v>Reporting covenant — operating statements</x:v>
      </x:c>
      <x:c r="B18" s="12" t="str">
        <x:v>Quarterly; within 45 days</x:v>
      </x:c>
      <x:c r="C18" s="12" t="str">
        <x:v>Quarterly and YTD property operating statements.</x:v>
      </x:c>
    </x:row>
    <x:row r="19">
      <x:c r="A19" s="12" t="str">
        <x:v>Reporting covenant — annual financials</x:v>
      </x:c>
      <x:c r="B19" s="12" t="str">
        <x:v>Within 120 days of FYE</x:v>
      </x:c>
      <x:c r="C19" s="12" t="str">
        <x:v>Borrower/SPE annual financial statements.</x:v>
      </x:c>
    </x:row>
    <x:row r="20">
      <x:c r="A20" s="12" t="str">
        <x:v>Minimum DSCR</x:v>
      </x:c>
      <x:c r="B20" s="42" t="n">
        <x:v>1.25</x:v>
      </x:c>
      <x:c r="C20" s="12" t="str">
        <x:v>Tested quarterly on trailing 12-month basis.</x:v>
      </x:c>
    </x:row>
    <x:row r="21">
      <x:c r="A21" s="12" t="str">
        <x:v>Maximum LTV</x:v>
      </x:c>
      <x:c r="B21" s="40" t="n">
        <x:v>0.7</x:v>
      </x:c>
      <x:c r="C21" s="12" t="str">
        <x:v>At origination and upon lender-requested reappraisal after trigger event.</x:v>
      </x:c>
    </x:row>
    <x:row r="22">
      <x:c r="A22" s="12" t="str">
        <x:v>Minimum sponsor liquidity</x:v>
      </x:c>
      <x:c r="B22" s="41" t="n">
        <x:v>1000000</x:v>
      </x:c>
      <x:c r="C22" s="12" t="str">
        <x:v>Unrestricted cash / marketable securities.</x:v>
      </x:c>
    </x:row>
    <x:row r="23">
      <x:c r="A23" s="68" t="str">
        <x:v>Additional indebtedness</x:v>
      </x:c>
      <x:c r="B23" s="68" t="str">
        <x:v>Prohibited except Permitted Debt</x:v>
      </x:c>
      <x:c r="C23" s="68" t="str">
        <x:v>Affiliate/subordinate note requires lender approval and subordination.</x:v>
      </x:c>
    </x:row>
    <x:row r="24">
      <x:c r="A24" s="68" t="str">
        <x:v>Covenant NOI definition</x:v>
      </x:c>
      <x:c r="B24" s="68" t="str">
        <x:v>Cash property revenues actually received during test period, less ordinary operating expenses; exclude security deposits, loan proceeds, sale proceeds, insurance/condemnation proceeds (except business interruption), and extraordinary/non-recurring income; expense add-backs or annualization require lender approval.</x:v>
      </x:c>
      <x:c r="C24" s="68" t="str">
        <x:v>Controls covenant DSCR, not borrower's accounting NOI or appraisal NOI.</x:v>
      </x:c>
    </x:row>
    <x:row r="25">
      <x:c r="A25" s="12" t="str">
        <x:v>DSCR definition</x:v>
      </x:c>
      <x:c r="B25" s="12" t="str">
        <x:v>Covenant NOI / Annual Debt Service</x:v>
      </x:c>
      <x:c r="C25" s="12" t="str">
        <x:v>Annual Debt Service based on actual scheduled principal and interest under tested loan.</x:v>
      </x:c>
    </x:row>
    <x:row r="26">
      <x:c r="A26" s="12" t="str">
        <x:v>Compliance certificate</x:v>
      </x:c>
      <x:c r="B26" s="12" t="str">
        <x:v>Quarterly with required financial reporting</x:v>
      </x:c>
      <x:c r="C26" s="12" t="str">
        <x:v>Borrower certifies calculations; lender may recalculate.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5" hidden="0" customWidth="1"/>
    <x:col min="4" max="4" width="72" hidden="0" customWidth="1"/>
  </x:cols>
  <x:sheetData>
    <x:row r="1" ht="28" customHeight="1">
      <x:c r="A1" s="5" t="str">
        <x:v>Synthetic Appraisal — Selected Underwriting Facts</x:v>
      </x:c>
      <x:c r="B1" s="5"/>
      <x:c r="C1" s="5"/>
      <x:c r="D1" s="5"/>
      <x:c r="E1" s="5"/>
      <x:c r="F1" s="5"/>
      <x:c r="G1" s="5"/>
      <x:c r="H1" s="5"/>
    </x:row>
    <x:row r="3">
      <x:c r="A3" s="27" t="str">
        <x:v>Field</x:v>
      </x:c>
      <x:c r="B3" s="27" t="str">
        <x:v>Appraisal Value / Assumption</x:v>
      </x:c>
      <x:c r="C3" s="27" t="str">
        <x:v>As-of</x:v>
      </x:c>
      <x:c r="D3" s="27" t="str">
        <x:v>Canonical Note</x:v>
      </x:c>
    </x:row>
    <x:row r="4">
      <x:c r="A4" s="12" t="str">
        <x:v>Report date</x:v>
      </x:c>
      <x:c r="B4" s="14" t="n">
        <x:v>45767</x:v>
      </x:c>
      <x:c r="C4" s="14" t="n">
        <x:v>45767</x:v>
      </x:c>
      <x:c r="D4" s="12" t="str">
        <x:v>Report issued after 3/31/25 effective date.</x:v>
      </x:c>
    </x:row>
    <x:row r="5">
      <x:c r="A5" s="12" t="str">
        <x:v>Effective valuation date</x:v>
      </x:c>
      <x:c r="B5" s="14" t="n">
        <x:v>45747</x:v>
      </x:c>
      <x:c r="C5" s="14" t="n">
        <x:v>45747</x:v>
      </x:c>
      <x:c r="D5" s="12" t="str">
        <x:v>Stale by ~18 months at current analysis date.</x:v>
      </x:c>
    </x:row>
    <x:row r="6">
      <x:c r="A6" s="12" t="str">
        <x:v>Appraiser</x:v>
      </x:c>
      <x:c r="B6" s="12" t="str">
        <x:v>MetroVal Advisors, MAI</x:v>
      </x:c>
      <x:c r="C6" s="14" t="str"/>
      <x:c r="D6" s="12" t="str">
        <x:v>Fictitious.</x:v>
      </x:c>
    </x:row>
    <x:row r="7">
      <x:c r="A7" s="12" t="str">
        <x:v>As-is market value</x:v>
      </x:c>
      <x:c r="B7" s="41" t="n">
        <x:v>20400000</x:v>
      </x:c>
      <x:c r="C7" s="14" t="n">
        <x:v>45747</x:v>
      </x:c>
      <x:c r="D7" s="12" t="str">
        <x:v>Historical appraisal value; not a current 2026 market value.</x:v>
      </x:c>
    </x:row>
    <x:row r="8">
      <x:c r="A8" s="68" t="str">
        <x:v>Stabilized occupancy</x:v>
      </x:c>
      <x:c r="B8" s="92" t="n">
        <x:v>0.95</x:v>
      </x:c>
      <x:c r="C8" s="70" t="n">
        <x:v>45747</x:v>
      </x:c>
      <x:c r="D8" s="68" t="str">
        <x:v>Higher than current 92.12% physical occupancy.</x:v>
      </x:c>
    </x:row>
    <x:row r="9">
      <x:c r="A9" s="68" t="str">
        <x:v>Stabilized NOI</x:v>
      </x:c>
      <x:c r="B9" s="92" t="n">
        <x:v>1625000</x:v>
      </x:c>
      <x:c r="C9" s="70" t="n">
        <x:v>45747</x:v>
      </x:c>
      <x:c r="D9" s="68" t="str">
        <x:v>Appraisal NOI; not covenant NOI.</x:v>
      </x:c>
    </x:row>
    <x:row r="10">
      <x:c r="A10" s="12" t="str">
        <x:v>Capitalization rate</x:v>
      </x:c>
      <x:c r="B10" s="54" t="n">
        <x:v>0.0775</x:v>
      </x:c>
      <x:c r="C10" s="14" t="n">
        <x:v>45747</x:v>
      </x:c>
      <x:c r="D10" s="12" t="str">
        <x:v>Terminal / direct cap assumption.</x:v>
      </x:c>
    </x:row>
    <x:row r="11">
      <x:c r="A11" s="12" t="str">
        <x:v>Shop-space market rent</x:v>
      </x:c>
      <x:c r="B11" s="12" t="n">
        <x:v>30.5</x:v>
      </x:c>
      <x:c r="C11" s="14" t="n">
        <x:v>45747</x:v>
      </x:c>
      <x:c r="D11" s="12" t="str">
        <x:v>Older appraisal assumption; recent smaller-shop leasing evidence is closer to high-$20s in this synthetic file.</x:v>
      </x:c>
    </x:row>
    <x:row r="12">
      <x:c r="A12" s="66" t="str">
        <x:v>Anchor rent used</x:v>
      </x:c>
      <x:c r="B12" s="64" t="n">
        <x:v>18.5</x:v>
      </x:c>
      <x:c r="C12" s="64" t="n">
        <x:v>45747</x:v>
      </x:c>
      <x:c r="D12" s="66" t="str">
        <x:v>Matches then-current contractual rent.</x:v>
      </x:c>
    </x:row>
    <x:row r="13">
      <x:c r="A13" s="66" t="str">
        <x:v>Anchor lease expiration used</x:v>
      </x:c>
      <x:c r="B13" s="66" t="n">
        <x:v>48944</x:v>
      </x:c>
      <x:c r="C13" s="64" t="n">
        <x:v>45747</x:v>
      </x:c>
      <x:c r="D13" s="66" t="str">
        <x:v>Appraisal references stated expiration but does not economically haircut for 2029 termination right.</x:v>
      </x:c>
    </x:row>
    <x:row r="14">
      <x:c r="A14" s="66" t="str">
        <x:v>Anchor early termination modeled?</x:v>
      </x:c>
      <x:c r="B14" s="66" t="str">
        <x:v>No</x:v>
      </x:c>
      <x:c r="C14" s="64" t="n">
        <x:v>45747</x:v>
      </x:c>
      <x:c r="D14" s="66" t="str">
        <x:v>Material underwriting limitation for renewal analysis.</x:v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30" hidden="0" customWidth="1"/>
    <x:col min="4" max="4" width="30" hidden="0" customWidth="1"/>
    <x:col min="5" max="5" width="76" hidden="0" customWidth="1"/>
  </x:cols>
  <x:sheetData>
    <x:row r="1" ht="28" customHeight="1">
      <x:c r="A1" s="5" t="str">
        <x:v>DSCR Reconciliation — Borrower Certificate vs Loan Agreement Definition</x:v>
      </x:c>
      <x:c r="B1" s="5"/>
      <x:c r="C1" s="5"/>
      <x:c r="D1" s="5"/>
      <x:c r="E1" s="5"/>
      <x:c r="F1" s="5"/>
      <x:c r="G1" s="5"/>
      <x:c r="H1" s="5"/>
    </x:row>
    <x:row r="3">
      <x:c r="A3" s="27" t="str">
        <x:v>Line Item</x:v>
      </x:c>
      <x:c r="B3" s="27" t="str">
        <x:v>Amount ($)</x:v>
      </x:c>
      <x:c r="C3" s="27" t="str">
        <x:v>Borrower Certificate Treatment</x:v>
      </x:c>
      <x:c r="D3" s="27" t="str">
        <x:v>Lender / Canonical Treatment</x:v>
      </x:c>
      <x:c r="E3" s="27" t="str">
        <x:v>Reason</x:v>
      </x:c>
    </x:row>
    <x:row r="4">
      <x:c r="A4" s="12" t="str">
        <x:v>TTM property NOI</x:v>
      </x:c>
      <x:c r="B4" s="41" t="n">
        <x:f>Operating_History!F17</x:f>
        <x:v>1635000</x:v>
      </x:c>
      <x:c r="C4" s="12" t="str">
        <x:v>Starting point</x:v>
      </x:c>
      <x:c r="D4" s="12" t="str">
        <x:v>Starting point</x:v>
      </x:c>
      <x:c r="E4" s="12" t="str">
        <x:v>Property operating statement.</x:v>
      </x:c>
    </x:row>
    <x:row r="5">
      <x:c r="A5" s="12" t="str">
        <x:v>Borrower add-back: roof/HVAC work</x:v>
      </x:c>
      <x:c r="B5" s="41" t="n">
        <x:v>85000</x:v>
      </x:c>
      <x:c r="C5" s="12" t="str">
        <x:v>Add back</x:v>
      </x:c>
      <x:c r="D5" s="12" t="str">
        <x:v>Do NOT add back absent lender approval</x:v>
      </x:c>
      <x:c r="E5" s="12" t="str">
        <x:v>Borrower characterizes as one-time capital; loan definition requires lender approval for exclusion/add-back.</x:v>
      </x:c>
    </x:row>
    <x:row r="6">
      <x:c r="A6" s="12" t="str">
        <x:v>Borrower annualization: new tenant rent</x:v>
      </x:c>
      <x:c r="B6" s="41" t="n">
        <x:v>40000</x:v>
      </x:c>
      <x:c r="C6" s="12" t="str">
        <x:v>Add</x:v>
      </x:c>
      <x:c r="D6" s="12" t="str">
        <x:v>Do NOT annualize</x:v>
      </x:c>
      <x:c r="E6" s="12" t="str">
        <x:v>Loan definition uses cash revenues actually received in test period; no automatic annualization.</x:v>
      </x:c>
    </x:row>
    <x:row r="7">
      <x:c r="A7" s="68" t="str">
        <x:v>Borrower adjusted / reported covenant NOI</x:v>
      </x:c>
      <x:c r="B7" s="74" t="n">
        <x:f>B4+B5+B6</x:f>
        <x:v>1760000</x:v>
      </x:c>
      <x:c r="C7" s="68" t="str">
        <x:v>Reported NOI</x:v>
      </x:c>
      <x:c r="D7" s="68" t="str"/>
      <x:c r="E7" s="68" t="str"/>
    </x:row>
    <x:row r="8">
      <x:c r="A8" s="68" t="str">
        <x:v>Lender disallowed add-backs</x:v>
      </x:c>
      <x:c r="B8" s="74" t="n">
        <x:f>-(B5+B6)</x:f>
        <x:v>-125000</x:v>
      </x:c>
      <x:c r="C8" s="68" t="str"/>
      <x:c r="D8" s="68" t="str">
        <x:v>Applied</x:v>
      </x:c>
      <x:c r="E8" s="68" t="str">
        <x:v>Removes unsupported adjustments.</x:v>
      </x:c>
    </x:row>
    <x:row r="9">
      <x:c r="A9" s="68" t="str">
        <x:v>Other lender adjustments</x:v>
      </x:c>
      <x:c r="B9" s="74" t="n">
        <x:v>0</x:v>
      </x:c>
      <x:c r="C9" s="68" t="str"/>
      <x:c r="D9" s="68" t="str">
        <x:v>None</x:v>
      </x:c>
      <x:c r="E9" s="68" t="str">
        <x:v>No other canonical adjustment.</x:v>
      </x:c>
    </x:row>
    <x:row r="10">
      <x:c r="A10" s="68" t="str">
        <x:v>Lender-defined covenant NOI</x:v>
      </x:c>
      <x:c r="B10" s="74" t="n">
        <x:f>B7+B8+B9</x:f>
        <x:v>1635000</x:v>
      </x:c>
      <x:c r="C10" s="68" t="str"/>
      <x:c r="D10" s="68" t="str">
        <x:v>Canonical</x:v>
      </x:c>
      <x:c r="E10" s="68" t="str"/>
    </x:row>
    <x:row r="11">
      <x:c r="A11" s="12" t="str"/>
      <x:c r="B11" s="41" t="str"/>
      <x:c r="C11" s="12" t="str"/>
      <x:c r="D11" s="12" t="str"/>
      <x:c r="E11" s="12" t="str"/>
    </x:row>
    <x:row r="12">
      <x:c r="A12" s="12" t="str">
        <x:v>Proposed principal</x:v>
      </x:c>
      <x:c r="B12" s="41" t="n">
        <x:v>12000000</x:v>
      </x:c>
      <x:c r="C12" s="12" t="str"/>
      <x:c r="D12" s="12" t="str"/>
      <x:c r="E12" s="12" t="str"/>
    </x:row>
    <x:row r="13">
      <x:c r="A13" s="12" t="str">
        <x:v>Proposed annual interest rate</x:v>
      </x:c>
      <x:c r="B13" s="40" t="n">
        <x:f>Loan_Terms!B12</x:f>
        <x:v>0.0725</x:v>
      </x:c>
      <x:c r="C13" s="12" t="str"/>
      <x:c r="D13" s="12" t="str"/>
      <x:c r="E13" s="12" t="str"/>
    </x:row>
    <x:row r="14">
      <x:c r="A14" s="12" t="str">
        <x:v>Proposed amortization years</x:v>
      </x:c>
      <x:c r="B14" s="41" t="n">
        <x:f>Loan_Terms!B14</x:f>
        <x:v>15</x:v>
      </x:c>
      <x:c r="C14" s="12" t="str"/>
      <x:c r="D14" s="12" t="str"/>
      <x:c r="E14" s="12" t="str"/>
    </x:row>
    <x:row r="15">
      <x:c r="A15" s="12" t="str">
        <x:v>Annual debt service</x:v>
      </x:c>
      <x:c r="B15" s="41" t="n">
        <x:f>-PMT(B13/12,B14*12,B12)*12</x:f>
        <x:v>1314522.54868894</x:v>
      </x:c>
      <x:c r="C15" s="12" t="str"/>
      <x:c r="D15" s="12" t="str">
        <x:v>Canonical</x:v>
      </x:c>
      <x:c r="E15" s="12" t="str"/>
    </x:row>
    <x:row r="16">
      <x:c r="A16" s="66" t="str"/>
      <x:c r="B16" s="80" t="str"/>
      <x:c r="C16" s="66" t="str"/>
      <x:c r="D16" s="66" t="str"/>
      <x:c r="E16" s="66" t="str"/>
    </x:row>
    <x:row r="17">
      <x:c r="A17" s="66" t="str">
        <x:v>Borrower-reported DSCR</x:v>
      </x:c>
      <x:c r="B17" s="98" t="n">
        <x:f>B7/B15</x:f>
        <x:v>1.3388891668350338</x:v>
      </x:c>
      <x:c r="C17" s="66" t="str">
        <x:v>PASS if &gt;= 1.25x</x:v>
      </x:c>
      <x:c r="D17" s="66" t="str"/>
      <x:c r="E17" s="66" t="str"/>
    </x:row>
    <x:row r="18">
      <x:c r="A18" s="66" t="str">
        <x:v>Lender-recalculated DSCR</x:v>
      </x:c>
      <x:c r="B18" s="98" t="n">
        <x:f>B10/B15</x:f>
        <x:v>1.2437976066905</x:v>
      </x:c>
      <x:c r="C18" s="66" t="str"/>
      <x:c r="D18" s="66" t="str">
        <x:v>Canonical</x:v>
      </x:c>
      <x:c r="E18" s="66" t="str">
        <x:v>Potential covenant shortfall.</x:v>
      </x:c>
    </x:row>
    <x:row r="19">
      <x:c r="A19" s="66" t="str">
        <x:v>Minimum DSCR covenant</x:v>
      </x:c>
      <x:c r="B19" s="98" t="n">
        <x:f>Loan_Terms!B20</x:f>
        <x:v>1.25</x:v>
      </x:c>
      <x:c r="C19" s="66" t="str"/>
      <x:c r="D19" s="66" t="str"/>
      <x:c r="E19" s="66" t="str"/>
    </x:row>
    <x:row r="20">
      <x:c r="A20" s="66" t="str">
        <x:v>Headroom / (shortfall)</x:v>
      </x:c>
      <x:c r="B20" s="98" t="n">
        <x:f>B18-B19</x:f>
        <x:v>-0.006202393309499898</x:v>
      </x:c>
      <x:c r="C20" s="66" t="str"/>
      <x:c r="D20" s="66" t="str">
        <x:v>Canonical</x:v>
      </x:c>
      <x:c r="E20" s="66" t="str">
        <x:v>Negative means below covenant.</x:v>
      </x:c>
    </x:row>
    <x:row r="21">
      <x:c r="A21" s="66" t="str">
        <x:v>Compliance result</x:v>
      </x:c>
      <x:c r="B21" s="99" t="str">
        <x:f>IF(B18&gt;=B19,"PASS","FAIL / REVIEW")</x:f>
        <x:v>FAIL / REVIEW</x:v>
      </x:c>
      <x:c r="C21" s="66" t="str">
        <x:v>Borrower says PASS</x:v>
      </x:c>
      <x:c r="D21" s="66" t="str">
        <x:v>Canonical result</x:v>
      </x:c>
      <x:c r="E21" s="66" t="str">
        <x:v>Requires analyst review and lender interpretation of expense add-back.</x:v>
      </x:c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40" hidden="0" customWidth="1"/>
    <x:col min="4" max="4" width="40" hidden="0" customWidth="1"/>
    <x:col min="5" max="5" width="40" hidden="0" customWidth="1"/>
    <x:col min="6" max="6" width="58" hidden="0" customWidth="1"/>
    <x:col min="7" max="7" width="12" hidden="0" customWidth="1"/>
    <x:col min="8" max="8" width="18" hidden="0" customWidth="1"/>
    <x:col min="9" max="9" width="66" hidden="0" customWidth="1"/>
    <x:col min="10" max="10" width="34" hidden="0" customWidth="1"/>
    <x:col min="11" max="11" width="18" hidden="0" customWidth="1"/>
  </x:cols>
  <x:sheetData>
    <x:row r="1" ht="28" customHeight="1">
      <x:c r="A1" s="5" t="str">
        <x:v>Planted Discrepancy / Exception Matrix</x:v>
      </x:c>
      <x:c r="B1" s="5"/>
      <x:c r="C1" s="5"/>
      <x:c r="D1" s="5"/>
      <x:c r="E1" s="5"/>
      <x:c r="F1" s="5"/>
      <x:c r="G1" s="5"/>
      <x:c r="H1" s="5"/>
    </x:row>
    <x:row r="3">
      <x:c r="A3" s="27" t="str">
        <x:v>ID</x:v>
      </x:c>
      <x:c r="B3" s="27" t="str">
        <x:v>Category</x:v>
      </x:c>
      <x:c r="C3" s="27" t="str">
        <x:v>Issue</x:v>
      </x:c>
      <x:c r="D3" s="27" t="str">
        <x:v>Evidence A</x:v>
      </x:c>
      <x:c r="E3" s="27" t="str">
        <x:v>Evidence B</x:v>
      </x:c>
      <x:c r="F3" s="27" t="str">
        <x:v>Canonical Ground Truth</x:v>
      </x:c>
      <x:c r="G3" s="27" t="str">
        <x:v>Severity</x:v>
      </x:c>
      <x:c r="H3" s="27" t="str">
        <x:v>Should Eridant Flag?</x:v>
      </x:c>
      <x:c r="I3" s="27" t="str">
        <x:v>Expected Eridant Behavior</x:v>
      </x:c>
      <x:c r="J3" s="27" t="str">
        <x:v>Potential Credit Impact</x:v>
      </x:c>
      <x:c r="K3" s="27" t="str">
        <x:v>Primary Fact IDs</x:v>
      </x:c>
    </x:row>
    <x:row r="4">
      <x:c r="A4" s="84" t="str">
        <x:v>D01</x:v>
      </x:c>
      <x:c r="B4" s="84" t="str">
        <x:v>Timing / benign</x:v>
      </x:c>
      <x:c r="C4" s="84" t="str">
        <x:v>Mortgage balance differs across documents</x:v>
      </x:c>
      <x:c r="D4" s="84" t="str">
        <x:v>6/30/26 debt schedule: $11.205MM</x:v>
      </x:c>
      <x:c r="E4" s="84" t="str">
        <x:v>8/31/26 SPE BS: $11.120MM</x:v>
      </x:c>
      <x:c r="F4" s="84" t="str">
        <x:v>Different as-of dates plus normal amortization; use latest servicer/payoff for exact balance.</x:v>
      </x:c>
      <x:c r="G4" s="84" t="str">
        <x:v>Benign</x:v>
      </x:c>
      <x:c r="H4" s="84" t="str">
        <x:v>No material alert</x:v>
      </x:c>
      <x:c r="I4" s="84" t="str">
        <x:v>Date-normalize, explain difference, suppress exception unless movement is inconsistent with scheduled amortization.</x:v>
      </x:c>
      <x:c r="J4" s="84" t="str">
        <x:v>None</x:v>
      </x:c>
      <x:c r="K4" s="84" t="str">
        <x:v>F-DEBT-001</x:v>
      </x:c>
    </x:row>
    <x:row r="5">
      <x:c r="A5" s="84" t="str">
        <x:v>D02</x:v>
      </x:c>
      <x:c r="B5" s="84" t="str">
        <x:v>Stale assumption / benign</x:v>
      </x:c>
      <x:c r="C5" s="84" t="str">
        <x:v>Pressed &amp; Poured rent differs from old appraisal</x:v>
      </x:c>
      <x:c r="D5" s="84" t="str">
        <x:v>Appraisal: $38/SF</x:v>
      </x:c>
      <x:c r="E5" s="84" t="str">
        <x:v>Current executed lease / rent roll: $40/SF</x:v>
      </x:c>
      <x:c r="F5" s="84" t="str">
        <x:v>Current contractual rent is $40/SF after commencement; appraisal is older.</x:v>
      </x:c>
      <x:c r="G5" s="84" t="str">
        <x:v>Benign</x:v>
      </x:c>
      <x:c r="H5" s="84" t="str">
        <x:v>No material alert</x:v>
      </x:c>
      <x:c r="I5" s="84" t="str">
        <x:v>Prefer later executed lease for current rent; retain appraisal value as historical evidence.</x:v>
      </x:c>
      <x:c r="J5" s="84" t="str">
        <x:v>None</x:v>
      </x:c>
      <x:c r="K5" s="84" t="str">
        <x:v>F-LEASE-016</x:v>
      </x:c>
    </x:row>
    <x:row r="6">
      <x:c r="A6" s="84" t="str">
        <x:v>D03</x:v>
      </x:c>
      <x:c r="B6" s="84" t="str">
        <x:v>Entity resolution / benign</x:v>
      </x:c>
      <x:c r="C6" s="84" t="str">
        <x:v>Tenant names differ</x:v>
      </x:c>
      <x:c r="D6" s="84" t="str">
        <x:v>Rent roll: FreshMart Market</x:v>
      </x:c>
      <x:c r="E6" s="84" t="str">
        <x:v>Lease: FM Retail Operations, LLC</x:v>
      </x:c>
      <x:c r="F6" s="84" t="str">
        <x:v>FreshMart Market is DBA / operating name of FM Retail Operations, LLC.</x:v>
      </x:c>
      <x:c r="G6" s="84" t="str">
        <x:v>Benign</x:v>
      </x:c>
      <x:c r="H6" s="84" t="str">
        <x:v>No material alert</x:v>
      </x:c>
      <x:c r="I6" s="84" t="str">
        <x:v>Resolve DBA to legal tenant entity and preserve alias.</x:v>
      </x:c>
      <x:c r="J6" s="84" t="str">
        <x:v>None</x:v>
      </x:c>
      <x:c r="K6" s="84" t="str">
        <x:v>F-TEN-001</x:v>
      </x:c>
    </x:row>
    <x:row r="7">
      <x:c r="A7" s="68" t="str">
        <x:v>D04</x:v>
      </x:c>
      <x:c r="B7" s="68" t="str">
        <x:v>Lease term error</x:v>
      </x:c>
      <x:c r="C7" s="68" t="str">
        <x:v>Family Dental expiration overstated by 12 months</x:v>
      </x:c>
      <x:c r="D7" s="68" t="str">
        <x:v>Rent roll: 12/31/2028</x:v>
      </x:c>
      <x:c r="E7" s="68" t="str">
        <x:v>Executed lease: 12/31/2027</x:v>
      </x:c>
      <x:c r="F7" s="68" t="str">
        <x:v>12/31/2027; no extension amendment exists.</x:v>
      </x:c>
      <x:c r="G7" s="68" t="str">
        <x:v>Medium</x:v>
      </x:c>
      <x:c r="H7" s="68" t="str">
        <x:v>Yes</x:v>
      </x:c>
      <x:c r="I7" s="68" t="str">
        <x:v>Flag source conflict; lease is legal authority. Update rollover schedule and analyst packet.</x:v>
      </x:c>
      <x:c r="J7" s="68" t="str">
        <x:v>Earlier rollover / leasing cost</x:v>
      </x:c>
      <x:c r="K7" s="68" t="str">
        <x:v>F-LEASE-007</x:v>
      </x:c>
    </x:row>
    <x:row r="8">
      <x:c r="A8" s="68" t="str">
        <x:v>D05</x:v>
      </x:c>
      <x:c r="B8" s="68" t="str">
        <x:v>Recovery leakage</x:v>
      </x:c>
      <x:c r="C8" s="68" t="str">
        <x:v>CAM recoveries below contractual potential</x:v>
      </x:c>
      <x:c r="D8" s="68" t="str">
        <x:v>Current lease obligations imply materially higher recoveries</x:v>
      </x:c>
      <x:c r="E8" s="68" t="str">
        <x:v>TTM operating statement reimbursements = $625K</x:v>
      </x:c>
      <x:c r="F8" s="68" t="str">
        <x:v>Gap is partly explainable by vacancies, FitZone CAM cap, exclusions and collection slippage; remaining gap requires reconciliation.</x:v>
      </x:c>
      <x:c r="G8" s="68" t="str">
        <x:v>Medium</x:v>
      </x:c>
      <x:c r="H8" s="68" t="str">
        <x:v>Yes, as investigation</x:v>
      </x:c>
      <x:c r="I8" s="68" t="str">
        <x:v>Quantify potential vs realized recovery; explain known caps/exclusions; ask RM/borrower about residual gap rather than calling it an error.</x:v>
      </x:c>
      <x:c r="J8" s="68" t="str">
        <x:v>Lower NOI / collections risk</x:v>
      </x:c>
      <x:c r="K8" s="68" t="str">
        <x:v>F-OPS-002</x:v>
      </x:c>
    </x:row>
    <x:row r="9">
      <x:c r="A9" s="68" t="str">
        <x:v>D06</x:v>
      </x:c>
      <x:c r="B9" s="68" t="str">
        <x:v>Deterioration / stale appraisal</x:v>
      </x:c>
      <x:c r="C9" s="68" t="str">
        <x:v>Occupancy has fallen</x:v>
      </x:c>
      <x:c r="D9" s="68" t="str">
        <x:v>3/31/25 appraisal stabilized occupancy 95%</x:v>
      </x:c>
      <x:c r="E9" s="68" t="str">
        <x:v>8/31/26 rent roll occupancy 92.12%</x:v>
      </x:c>
      <x:c r="F9" s="68" t="str">
        <x:v>Current occupancy is 92.12%; appraisal is stale and should not represent current occupancy.</x:v>
      </x:c>
      <x:c r="G9" s="68" t="str">
        <x:v>Medium</x:v>
      </x:c>
      <x:c r="H9" s="68" t="str">
        <x:v>Yes</x:v>
      </x:c>
      <x:c r="I9" s="68" t="str">
        <x:v>Treat as longitudinal deterioration, not a source error. Show date context and NOI implications.</x:v>
      </x:c>
      <x:c r="J9" s="68" t="str">
        <x:v>Lower cash flow / valuation pressure</x:v>
      </x:c>
      <x:c r="K9" s="68" t="str">
        <x:v>F-PROP-003</x:v>
      </x:c>
    </x:row>
    <x:row r="10">
      <x:c r="A10" s="68" t="str">
        <x:v>D07</x:v>
      </x:c>
      <x:c r="B10" s="68" t="str">
        <x:v>Underwriting assumption</x:v>
      </x:c>
      <x:c r="C10" s="68" t="str">
        <x:v>Appraisal market rent above recent in-file leasing evidence</x:v>
      </x:c>
      <x:c r="D10" s="68" t="str">
        <x:v>Appraisal shop-space market rent $30.50/SF</x:v>
      </x:c>
      <x:c r="E10" s="68" t="str">
        <x:v>Recent synthetic smaller-shop leases cluster in high-$20s to low-$30s</x:v>
      </x:c>
      <x:c r="F10" s="68" t="str">
        <x:v>Appraisal assumption is historical and not automatically wrong, but should be challenged in renewal underwriting.</x:v>
      </x:c>
      <x:c r="G10" s="68" t="str">
        <x:v>Medium</x:v>
      </x:c>
      <x:c r="H10" s="68" t="str">
        <x:v>Yes, contextual</x:v>
      </x:c>
      <x:c r="I10" s="68" t="str">
        <x:v>Surface as stale assumption / underwriting sensitivity, not factual discrepancy.</x:v>
      </x:c>
      <x:c r="J10" s="68" t="str">
        <x:v>Re-leasing economics / value</x:v>
      </x:c>
      <x:c r="K10" s="68" t="str">
        <x:v>F-APP-004</x:v>
      </x:c>
    </x:row>
    <x:row r="11">
      <x:c r="A11" s="66" t="str">
        <x:v>D08</x:v>
      </x:c>
      <x:c r="B11" s="66" t="str">
        <x:v>Hidden lease option</x:v>
      </x:c>
      <x:c r="C11" s="66" t="str">
        <x:v>Anchor early termination right omitted from rent roll and appraisal economics</x:v>
      </x:c>
      <x:c r="D11" s="66" t="str">
        <x:v>Rent roll / appraisal show 12/31/2033 expiration</x:v>
      </x:c>
      <x:c r="E11" s="66" t="str">
        <x:v>Lease Amendment 2 permits termination 12/31/2029</x:v>
      </x:c>
      <x:c r="F11" s="66" t="str">
        <x:v>Contractual expiration remains 2033, but economic lease horizon may be 2029 until option expires unexercised.</x:v>
      </x:c>
      <x:c r="G11" s="66" t="str">
        <x:v>High</x:v>
      </x:c>
      <x:c r="H11" s="66" t="str">
        <x:v>Yes — priority</x:v>
      </x:c>
      <x:c r="I11" s="66" t="str">
        <x:v>Read amendment, recognize option, calculate concentration exposure, and surface targeted question: likelihood of exercise / discussions with anchor.</x:v>
      </x:c>
      <x:c r="J11" s="66" t="str">
        <x:v>Tenant concentration / rollover / value</x:v>
      </x:c>
      <x:c r="K11" s="66" t="str">
        <x:v>F-LEASE-001</x:v>
      </x:c>
    </x:row>
    <x:row r="12">
      <x:c r="A12" s="66" t="str">
        <x:v>D09</x:v>
      </x:c>
      <x:c r="B12" s="66" t="str">
        <x:v>Covenant definition</x:v>
      </x:c>
      <x:c r="C12" s="66" t="str">
        <x:v>Borrower adds back $85K roof/HVAC item</x:v>
      </x:c>
      <x:c r="D12" s="66" t="str">
        <x:v>Compliance certificate treats as non-recurring/capital</x:v>
      </x:c>
      <x:c r="E12" s="66" t="str">
        <x:v>Loan agreement requires lender approval for extraordinary/add-back treatment</x:v>
      </x:c>
      <x:c r="F12" s="66" t="str">
        <x:v>Do not automatically add back for covenant calculation absent lender approval.</x:v>
      </x:c>
      <x:c r="G12" s="66" t="str">
        <x:v>High</x:v>
      </x:c>
      <x:c r="H12" s="66" t="str">
        <x:v>Yes — priority</x:v>
      </x:c>
      <x:c r="I12" s="66" t="str">
        <x:v>Apply legal covenant definition; present borrower view vs lender-definition view and cite clause.</x:v>
      </x:c>
      <x:c r="J12" s="66" t="str">
        <x:v>Could flip DSCR compliance</x:v>
      </x:c>
      <x:c r="K12" s="66" t="str">
        <x:v>F-COV-003</x:v>
      </x:c>
    </x:row>
    <x:row r="13">
      <x:c r="A13" s="66" t="str">
        <x:v>D10</x:v>
      </x:c>
      <x:c r="B13" s="66" t="str">
        <x:v>Covenant breach / calculation</x:v>
      </x:c>
      <x:c r="C13" s="66" t="str">
        <x:v>Borrower reports compliant DSCR, lender definition is below threshold</x:v>
      </x:c>
      <x:c r="D13" s="66" t="str">
        <x:v>Borrower DSCR ≈ 1.34x</x:v>
      </x:c>
      <x:c r="E13" s="66" t="str">
        <x:v>Canonical lender DSCR ≈ 1.24x vs 1.25x minimum</x:v>
      </x:c>
      <x:c r="F13" s="66" t="str">
        <x:v>Potential technical covenant shortfall pending lender treatment of add-back.</x:v>
      </x:c>
      <x:c r="G13" s="66" t="str">
        <x:v>Critical</x:v>
      </x:c>
      <x:c r="H13" s="66" t="str">
        <x:v>Yes — highest priority</x:v>
      </x:c>
      <x:c r="I13" s="66" t="str">
        <x:v>Recalculate from source facts, show exact bridge, do not autonomously declare default; escalate for credit officer review.</x:v>
      </x:c>
      <x:c r="J13" s="66" t="str">
        <x:v>Covenant compliance / pricing / structure</x:v>
      </x:c>
      <x:c r="K13" s="66" t="str">
        <x:v>F-COV-001</x:v>
      </x:c>
    </x:row>
    <x:row r="14">
      <x:c r="A14" s="66" t="str">
        <x:v>D11</x:v>
      </x:c>
      <x:c r="B14" s="66" t="str">
        <x:v>Omitted indebtedness</x:v>
      </x:c>
      <x:c r="C14" s="66" t="str">
        <x:v>Affiliate note missing from debt schedule</x:v>
      </x:c>
      <x:c r="D14" s="66" t="str">
        <x:v>SPE balance sheet: $550K due to affiliate</x:v>
      </x:c>
      <x:c r="E14" s="66" t="str">
        <x:v>Borrower debt schedule omits it</x:v>
      </x:c>
      <x:c r="F14" s="66" t="str">
        <x:v>Subordinated related-party indebtedness exists; lender consent/subordination status must be confirmed.</x:v>
      </x:c>
      <x:c r="G14" s="66" t="str">
        <x:v>High</x:v>
      </x:c>
      <x:c r="H14" s="66" t="str">
        <x:v>Yes — priority</x:v>
      </x:c>
      <x:c r="I14" s="66" t="str">
        <x:v>Entity-match balance-sheet liability to debt schedule; flag omission and check permitted-debt covenant.</x:v>
      </x:c>
      <x:c r="J14" s="66" t="str">
        <x:v>Leverage / negative covenant</x:v>
      </x:c>
      <x:c r="K14" s="66" t="str">
        <x:v>F-DEBT-002</x:v>
      </x:c>
    </x:row>
    <x:row r="15">
      <x:c r="A15" s="66" t="str">
        <x:v>D12</x:v>
      </x:c>
      <x:c r="B15" s="66" t="str">
        <x:v>Longitudinal risk hypothesis</x:v>
      </x:c>
      <x:c r="C15" s="66" t="str">
        <x:v>Credit profile has weakened despite no single catastrophic event</x:v>
      </x:c>
      <x:c r="D15" s="66" t="str">
        <x:v>2023 NOI $2.024MM / 96.5% occupancy</x:v>
      </x:c>
      <x:c r="E15" s="66" t="str">
        <x:v>TTM NOI $1.635MM / 92.12% occupancy + near-term rollover + anchor option</x:v>
      </x:c>
      <x:c r="F15" s="66" t="str">
        <x:v>Cumulative deterioration is material for renewal/refinance analysis.</x:v>
      </x:c>
      <x:c r="G15" s="66" t="str">
        <x:v>High</x:v>
      </x:c>
      <x:c r="H15" s="66" t="str">
        <x:v>Yes — synthesis</x:v>
      </x:c>
      <x:c r="I15" s="66" t="str">
        <x:v>Connect trend, lease rollover, anchor option, recovery leakage and covenant headroom into a concise hypothesis and targeted RM questions.</x:v>
      </x:c>
      <x:c r="J15" s="66" t="str">
        <x:v>Refinance / renewal terms</x:v>
      </x:c>
      <x:c r="K15" s="66" t="str">
        <x:v>F-RISK-001</x:v>
      </x:c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7" hidden="0" customWidth="1"/>
    <x:col min="3" max="3" width="40" hidden="0" customWidth="1"/>
    <x:col min="4" max="4" width="34" hidden="0" customWidth="1"/>
    <x:col min="5" max="5" width="70" hidden="0" customWidth="1"/>
    <x:col min="6" max="6" width="36" hidden="0" customWidth="1"/>
    <x:col min="7" max="7" width="72" hidden="0" customWidth="1"/>
  </x:cols>
  <x:sheetData>
    <x:row r="1" ht="28" customHeight="1">
      <x:c r="A1" s="5" t="str">
        <x:v>Fact-by-Fact Source-of-Truth Hierarchy</x:v>
      </x:c>
      <x:c r="B1" s="5"/>
      <x:c r="C1" s="5"/>
      <x:c r="D1" s="5"/>
      <x:c r="E1" s="5"/>
      <x:c r="F1" s="5"/>
      <x:c r="G1" s="5"/>
      <x:c r="H1" s="5"/>
    </x:row>
    <x:row r="3">
      <x:c r="A3" s="27" t="str">
        <x:v>Fact Domain</x:v>
      </x:c>
      <x:c r="B3" s="27" t="str">
        <x:v>Primary Authority</x:v>
      </x:c>
      <x:c r="C3" s="27" t="str">
        <x:v>Secondary Evidence</x:v>
      </x:c>
      <x:c r="D3" s="27" t="str">
        <x:v>Tertiary / Context</x:v>
      </x:c>
      <x:c r="E3" s="27" t="str">
        <x:v>Rule When Sources Conflict</x:v>
      </x:c>
      <x:c r="F3" s="27" t="str">
        <x:v>Public Methodology Source</x:v>
      </x:c>
      <x:c r="G3" s="27" t="str">
        <x:v>Source URL</x:v>
      </x:c>
    </x:row>
    <x:row r="4">
      <x:c r="A4" s="12" t="str">
        <x:v>Borrower legal identity / obligor</x:v>
      </x:c>
      <x:c r="B4" s="12" t="str">
        <x:v>Executed loan agreement, note, organizational documents</x:v>
      </x:c>
      <x:c r="C4" s="12" t="str">
        <x:v>SPE financials, tax records</x:v>
      </x:c>
      <x:c r="D4" s="12" t="str">
        <x:v>Rent roll / appraisal labels</x:v>
      </x:c>
      <x:c r="E4" s="12" t="str">
        <x:v>Legal executed documents control identity; aliases/DBAs resolved, not treated as separate obligors.</x:v>
      </x:c>
      <x:c r="F4" s="12" t="str">
        <x:v>SEC loan/source-document procedures</x:v>
      </x:c>
      <x:c r="G4" s="12" t="str">
        <x:v>https://www.sec.gov/Archives/edgar/data/1699066/000153949717000272/exh_99-1.htm</x:v>
      </x:c>
    </x:row>
    <x:row r="5">
      <x:c r="A5" s="12" t="str">
        <x:v>Tenant legal identity</x:v>
      </x:c>
      <x:c r="B5" s="12" t="str">
        <x:v>Executed lease + amendments / estoppel</x:v>
      </x:c>
      <x:c r="C5" s="12" t="str">
        <x:v>Rent roll</x:v>
      </x:c>
      <x:c r="D5" s="12" t="str">
        <x:v>Appraisal / operating statement</x:v>
      </x:c>
      <x:c r="E5" s="12" t="str">
        <x:v>Lease/estoppel controls legal tenant; rent roll useful for current occupancy and billing name.</x:v>
      </x:c>
      <x:c r="F5" s="12" t="str">
        <x:v>SEC source-document mapping</x:v>
      </x:c>
      <x:c r="G5" s="12" t="str">
        <x:v>https://www.sec.gov/Archives/edgar/data/1541480/000153949726001581/n5910_x1-exh1.htm</x:v>
      </x:c>
    </x:row>
    <x:row r="6">
      <x:c r="A6" s="12" t="str">
        <x:v>Leased / occupied SF</x:v>
      </x:c>
      <x:c r="B6" s="12" t="str">
        <x:v>Current rent roll reconciled to executed leases / estoppels</x:v>
      </x:c>
      <x:c r="C6" s="12" t="str">
        <x:v>Lease abstracts, occupancy schedule</x:v>
      </x:c>
      <x:c r="D6" s="12" t="str">
        <x:v>Appraisal</x:v>
      </x:c>
      <x:c r="E6" s="12" t="str">
        <x:v>Use current dated evidence; investigate material SF mismatch before calculating occupancy.</x:v>
      </x:c>
      <x:c r="F6" s="12" t="str">
        <x:v>SEC source-document mapping</x:v>
      </x:c>
      <x:c r="G6" s="12" t="str">
        <x:v>https://www.sec.gov/Archives/edgar/data/1541480/000153949726001581/n5910_x1-exh1.htm</x:v>
      </x:c>
    </x:row>
    <x:row r="7">
      <x:c r="A7" s="12" t="str">
        <x:v>Contractual rent</x:v>
      </x:c>
      <x:c r="B7" s="12" t="str">
        <x:v>Executed lease + amendments + commencement letter</x:v>
      </x:c>
      <x:c r="C7" s="12" t="str">
        <x:v>Tenant estoppel</x:v>
      </x:c>
      <x:c r="D7" s="12" t="str">
        <x:v>Rent roll; appraisal</x:v>
      </x:c>
      <x:c r="E7" s="12" t="str">
        <x:v>Legal lease stack controls contractual obligation; later executed amendments override earlier lease language.</x:v>
      </x:c>
      <x:c r="F7" s="12" t="str">
        <x:v>SEC CMBS underwriting methodology</x:v>
      </x:c>
      <x:c r="G7" s="12" t="str">
        <x:v>https://www.sec.gov/Archives/edgar/data/850779/000153949726000729/n5644_x17-424b2.htm</x:v>
      </x:c>
    </x:row>
    <x:row r="8">
      <x:c r="A8" s="12" t="str">
        <x:v>Lease expiration / options</x:v>
      </x:c>
      <x:c r="B8" s="12" t="str">
        <x:v>Executed lease + all amendments / estoppel</x:v>
      </x:c>
      <x:c r="C8" s="12" t="str">
        <x:v>Lease abstract</x:v>
      </x:c>
      <x:c r="D8" s="12" t="str">
        <x:v>Rent roll; appraisal</x:v>
      </x:c>
      <x:c r="E8" s="12" t="str">
        <x:v>Separate stated expiration from economic break/termination dates; amendments override stale roll/appraisal.</x:v>
      </x:c>
      <x:c r="F8" s="12" t="str">
        <x:v>SEC CMBS methodology / early termination</x:v>
      </x:c>
      <x:c r="G8" s="12" t="str">
        <x:v>https://www.sec.gov/Archives/edgar/data/1013454/000153949726000245/n5600_x16-424b2.htm</x:v>
      </x:c>
    </x:row>
    <x:row r="9">
      <x:c r="A9" s="12" t="str">
        <x:v>Actual property revenue / expense</x:v>
      </x:c>
      <x:c r="B9" s="12" t="str">
        <x:v>Property GL / bank-controlled cash management if available; otherwise period operating statement</x:v>
      </x:c>
      <x:c r="C9" s="12" t="str">
        <x:v>Rent roll and leases for expected/billed amounts</x:v>
      </x:c>
      <x:c r="D9" s="12" t="str">
        <x:v>Appraisal stabilized assumptions</x:v>
      </x:c>
      <x:c r="E9" s="12" t="str">
        <x:v>Do not substitute contractual or stabilized income for actual realized period results.</x:v>
      </x:c>
      <x:c r="F9" s="12" t="str">
        <x:v>SEC CMBS underwriting methodology</x:v>
      </x:c>
      <x:c r="G9" s="12" t="str">
        <x:v>https://www.sec.gov/Archives/edgar/data/850779/000153949726000729/n5644_x17-424b2.htm</x:v>
      </x:c>
    </x:row>
    <x:row r="10">
      <x:c r="A10" s="12" t="str">
        <x:v>NOI / NCF</x:v>
      </x:c>
      <x:c r="B10" s="12" t="str">
        <x:v>Definition-specific calculation from underlying actuals / underwriting assumptions</x:v>
      </x:c>
      <x:c r="C10" s="12" t="str">
        <x:v>Operating statement / underwriter summary</x:v>
      </x:c>
      <x:c r="D10" s="12" t="str">
        <x:v>Appraisal</x:v>
      </x:c>
      <x:c r="E10" s="12" t="str">
        <x:v>Always label definition: actual NOI, underwritten NOI, NCF, covenant NOI are not interchangeable.</x:v>
      </x:c>
      <x:c r="F10" s="12" t="str">
        <x:v>SEC definition of NOI/NCF</x:v>
      </x:c>
      <x:c r="G10" s="12" t="str">
        <x:v>https://www.sec.gov/Archives/edgar/data/850779/000153949726000729/n5644_x17-424b2.htm</x:v>
      </x:c>
    </x:row>
    <x:row r="11">
      <x:c r="A11" s="12" t="str">
        <x:v>Debt balance</x:v>
      </x:c>
      <x:c r="B11" s="12" t="str">
        <x:v>Current lender/servicer payoff or statement</x:v>
      </x:c>
      <x:c r="C11" s="12" t="str">
        <x:v>Borrower debt schedule; balance sheet</x:v>
      </x:c>
      <x:c r="D11" s="12" t="str">
        <x:v>Loan agreement original amount</x:v>
      </x:c>
      <x:c r="E11" s="12" t="str">
        <x:v>Normalize as-of dates before treating differences as exceptions.</x:v>
      </x:c>
      <x:c r="F11" s="12" t="str">
        <x:v>SEC source docs include loan/servicer statements</x:v>
      </x:c>
      <x:c r="G11" s="12" t="str">
        <x:v>https://www.sec.gov/Archives/edgar/data/1699066/000153949717000272/exh_99-1.htm</x:v>
      </x:c>
    </x:row>
    <x:row r="12">
      <x:c r="A12" s="12" t="str">
        <x:v>Debt existence / permitted debt</x:v>
      </x:c>
      <x:c r="B12" s="12" t="str">
        <x:v>Executed debt instruments + loan agreement covenants</x:v>
      </x:c>
      <x:c r="C12" s="12" t="str">
        <x:v>SPE balance sheet, debt schedule</x:v>
      </x:c>
      <x:c r="D12" s="12" t="str">
        <x:v>Management representation</x:v>
      </x:c>
      <x:c r="E12" s="12" t="str">
        <x:v>Any balance-sheet borrowing or due-to-affiliate requires reconciliation to debt schedule and permitted-debt covenant.</x:v>
      </x:c>
      <x:c r="F12" s="12" t="str">
        <x:v>SEC subordinate debt source documents</x:v>
      </x:c>
      <x:c r="G12" s="12" t="str">
        <x:v>https://www.sec.gov/Archives/edgar/data/1699066/000153949717000272/exh_99-1.htm</x:v>
      </x:c>
    </x:row>
    <x:row r="13">
      <x:c r="A13" s="12" t="str">
        <x:v>Appraised value</x:v>
      </x:c>
      <x:c r="B13" s="12" t="str">
        <x:v>Signed appraisal as of effective date</x:v>
      </x:c>
      <x:c r="C13" s="12" t="str">
        <x:v>Subsequent lender appraisal/revaluation</x:v>
      </x:c>
      <x:c r="D13" s="12" t="str">
        <x:v>Borrower estimate / broker opinion</x:v>
      </x:c>
      <x:c r="E13" s="12" t="str">
        <x:v>Value is date-specific; never present stale appraisal as current market fact without date qualifier.</x:v>
      </x:c>
      <x:c r="F13" s="12" t="str">
        <x:v>SEC source mapping includes appraisal</x:v>
      </x:c>
      <x:c r="G13" s="12" t="str">
        <x:v>https://www.sec.gov/Archives/edgar/data/1699066/000153949717000272/exh_99-1.htm</x:v>
      </x:c>
    </x:row>
    <x:row r="14">
      <x:c r="A14" s="12" t="str">
        <x:v>Financial covenant definition</x:v>
      </x:c>
      <x:c r="B14" s="12" t="str">
        <x:v>Executed loan agreement + amendments</x:v>
      </x:c>
      <x:c r="C14" s="12" t="str">
        <x:v>Lender policy / approved waiver</x:v>
      </x:c>
      <x:c r="D14" s="12" t="str">
        <x:v>Borrower compliance certificate</x:v>
      </x:c>
      <x:c r="E14" s="12" t="str">
        <x:v>Loan agreement definition controls; certificate is borrower assertion, not authority.</x:v>
      </x:c>
      <x:c r="F14" s="12" t="str">
        <x:v>SEC-filed CRE loan agreement reporting/covenants</x:v>
      </x:c>
      <x:c r="G14" s="12" t="str">
        <x:v>https://www.sec.gov/Archives/edgar/data/1193558/000119312504162847/dex107.htm</x:v>
      </x:c>
    </x:row>
    <x:row r="15">
      <x:c r="A15" s="12" t="str">
        <x:v>Covenant compliance result</x:v>
      </x:c>
      <x:c r="B15" s="12" t="str">
        <x:v>Independent recalculation using loan definition and authoritative source facts</x:v>
      </x:c>
      <x:c r="C15" s="12" t="str">
        <x:v>Borrower compliance certificate</x:v>
      </x:c>
      <x:c r="D15" s="12" t="str">
        <x:v>Credit memo</x:v>
      </x:c>
      <x:c r="E15" s="12" t="str">
        <x:v>Certificate should be reproduced / validated; material definitional judgments escalated to lender.</x:v>
      </x:c>
      <x:c r="F15" s="12" t="str">
        <x:v>SEC reporting + compliance certificate example</x:v>
      </x:c>
      <x:c r="G15" s="12" t="str">
        <x:v>https://www.sec.gov/Archives/edgar/data/1590418/000168316826003166/focus_ex1027.htm</x:v>
      </x:c>
    </x:row>
    <x:row r="16">
      <x:c r="A16" s="12" t="str">
        <x:v>Longitudinal trend</x:v>
      </x:c>
      <x:c r="B16" s="12" t="str">
        <x:v>Consistent dated series of operating statements + rent rolls + debt/covenant data</x:v>
      </x:c>
      <x:c r="C16" s="12" t="str">
        <x:v>Appraisals / budgets / prior credit memos</x:v>
      </x:c>
      <x:c r="D16" s="12" t="str">
        <x:v>Market context</x:v>
      </x:c>
      <x:c r="E16" s="12" t="str">
        <x:v>Compare like definitions and periods; explain changes caused by date or methodology before flagging credit deterioration.</x:v>
      </x:c>
      <x:c r="F16" s="12" t="str">
        <x:v>SEC investment underwriting process</x:v>
      </x:c>
      <x:c r="G16" s="12" t="str">
        <x:v>https://www.sec.gov/Archives/edgar/data/1577670/000114036126015956/ef20071045_ars.pdf</x:v>
      </x:c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22" hidden="0" customWidth="1"/>
    <x:col min="4" max="4" width="26" hidden="0" customWidth="1"/>
    <x:col min="5" max="5" width="22" hidden="0" customWidth="1"/>
    <x:col min="6" max="6" width="36" hidden="0" customWidth="1"/>
    <x:col min="7" max="7" width="52" hidden="0" customWidth="1"/>
    <x:col min="8" max="8" width="62" hidden="0" customWidth="1"/>
  </x:cols>
  <x:sheetData>
    <x:row r="1" ht="28" customHeight="1">
      <x:c r="A1" s="5" t="str">
        <x:v>Synthetic CRE Loan Package — Document Manifest</x:v>
      </x:c>
      <x:c r="B1" s="5"/>
      <x:c r="C1" s="5"/>
      <x:c r="D1" s="5"/>
      <x:c r="E1" s="5"/>
      <x:c r="F1" s="5"/>
      <x:c r="G1" s="5"/>
      <x:c r="H1" s="5"/>
    </x:row>
    <x:row r="3">
      <x:c r="A3" s="27" t="str">
        <x:v>Doc #</x:v>
      </x:c>
      <x:c r="B3" s="27" t="str">
        <x:v>Document</x:v>
      </x:c>
      <x:c r="C3" s="27" t="str">
        <x:v>Document Date / Period</x:v>
      </x:c>
      <x:c r="D3" s="27" t="str">
        <x:v>Owner / Producer</x:v>
      </x:c>
      <x:c r="E3" s="27" t="str">
        <x:v>Format to Generate</x:v>
      </x:c>
      <x:c r="F3" s="27" t="str">
        <x:v>Primary Purpose</x:v>
      </x:c>
      <x:c r="G3" s="27" t="str">
        <x:v>Key Facts Carried</x:v>
      </x:c>
      <x:c r="H3" s="27" t="str">
        <x:v>Planted Issues / Notes</x:v>
      </x:c>
    </x:row>
    <x:row r="4">
      <x:c r="A4" s="12" t="str">
        <x:v>01</x:v>
      </x:c>
      <x:c r="B4" s="12" t="str">
        <x:v>Borrower Loan Request / Cover Letter</x:v>
      </x:c>
      <x:c r="C4" s="14" t="n">
        <x:v>46266</x:v>
      </x:c>
      <x:c r="D4" s="12" t="str">
        <x:v>Borrower / Sponsor</x:v>
      </x:c>
      <x:c r="E4" s="12" t="str">
        <x:v>PDF, 2 pages</x:v>
      </x:c>
      <x:c r="F4" s="12" t="str">
        <x:v>Refinance request and borrower narrative</x:v>
      </x:c>
      <x:c r="G4" s="12" t="str">
        <x:v>Requested amount, purpose, occupancy narrative, sponsor background</x:v>
      </x:c>
      <x:c r="H4" s="12" t="str">
        <x:v>Narrative says property remains 'approximately 95% leased' — soft/stale claim, not treated as hard fact.</x:v>
      </x:c>
    </x:row>
    <x:row r="5">
      <x:c r="A5" s="12" t="str">
        <x:v>02</x:v>
      </x:c>
      <x:c r="B5" s="12" t="str">
        <x:v>Current Rent Roll</x:v>
      </x:c>
      <x:c r="C5" s="14" t="n">
        <x:v>46265</x:v>
      </x:c>
      <x:c r="D5" s="12" t="str">
        <x:v>Property manager / borrower</x:v>
      </x:c>
      <x:c r="E5" s="12" t="str">
        <x:v>XLSX + PDF, 3–4 pages</x:v>
      </x:c>
      <x:c r="F5" s="12" t="str">
        <x:v>Current tenant economics and occupancy</x:v>
      </x:c>
      <x:c r="G5" s="12" t="str">
        <x:v>Tenant, SF, rent, expiration, recoveries</x:v>
      </x:c>
      <x:c r="H5" s="12" t="str">
        <x:v>Omits anchor termination right; Family Dental expiration wrong; current occupancy 92.12%.</x:v>
      </x:c>
    </x:row>
    <x:row r="6">
      <x:c r="A6" s="12" t="str">
        <x:v>03</x:v>
      </x:c>
      <x:c r="B6" s="12" t="str">
        <x:v>Historical / TTM Property Operating Statements</x:v>
      </x:c>
      <x:c r="C6" s="96" t="str">
        <x:v>2023, 2024, 2025, TTM Aug-2026</x:v>
      </x:c>
      <x:c r="D6" s="12" t="str">
        <x:v>Property manager / borrower</x:v>
      </x:c>
      <x:c r="E6" s="12" t="str">
        <x:v>XLSX + PDF, 4–5 pages</x:v>
      </x:c>
      <x:c r="F6" s="12" t="str">
        <x:v>Actual property performance</x:v>
      </x:c>
      <x:c r="G6" s="12" t="str">
        <x:v>Revenue, reimbursements, expenses, NOI</x:v>
      </x:c>
      <x:c r="H6" s="12" t="str">
        <x:v>Recovery leakage and NOI decline visible over time.</x:v>
      </x:c>
    </x:row>
    <x:row r="7">
      <x:c r="A7" s="12" t="str">
        <x:v>04</x:v>
      </x:c>
      <x:c r="B7" s="12" t="str">
        <x:v>Cedar Grove Marketplace LLC Financial Statements</x:v>
      </x:c>
      <x:c r="C7" s="14" t="n">
        <x:v>46265</x:v>
      </x:c>
      <x:c r="D7" s="12" t="str">
        <x:v>Borrower CPA / management</x:v>
      </x:c>
      <x:c r="E7" s="12" t="str">
        <x:v>PDF, 8–12 pages</x:v>
      </x:c>
      <x:c r="F7" s="12" t="str">
        <x:v>SPE financial position</x:v>
      </x:c>
      <x:c r="G7" s="12" t="str">
        <x:v>Cash, AR, mortgage, affiliate note, equity</x:v>
      </x:c>
      <x:c r="H7" s="12" t="str">
        <x:v>$550K affiliate note appears here but not debt schedule.</x:v>
      </x:c>
    </x:row>
    <x:row r="8">
      <x:c r="A8" s="12" t="str">
        <x:v>05</x:v>
      </x:c>
      <x:c r="B8" s="12" t="str">
        <x:v>Borrower Debt Schedule</x:v>
      </x:c>
      <x:c r="C8" s="14" t="n">
        <x:v>46203</x:v>
      </x:c>
      <x:c r="D8" s="12" t="str">
        <x:v>Borrower</x:v>
      </x:c>
      <x:c r="E8" s="12" t="str">
        <x:v>XLSX + PDF, 2 pages</x:v>
      </x:c>
      <x:c r="F8" s="12" t="str">
        <x:v>Outstanding debt</x:v>
      </x:c>
      <x:c r="G8" s="12" t="str">
        <x:v>Mortgage lender, balance, rate, maturity</x:v>
      </x:c>
      <x:c r="H8" s="12" t="str">
        <x:v>Older mortgage balance is benign; affiliate note omitted.</x:v>
      </x:c>
    </x:row>
    <x:row r="9">
      <x:c r="A9" s="12" t="str">
        <x:v>06</x:v>
      </x:c>
      <x:c r="B9" s="12" t="str">
        <x:v>FreshMart Anchor Lease</x:v>
      </x:c>
      <x:c r="C9" s="14" t="n">
        <x:v>42993</x:v>
      </x:c>
      <x:c r="D9" s="12" t="str">
        <x:v>Landlord / tenant</x:v>
      </x:c>
      <x:c r="E9" s="12" t="str">
        <x:v>PDF, ~40 pages</x:v>
      </x:c>
      <x:c r="F9" s="12" t="str">
        <x:v>Anchor contractual terms</x:v>
      </x:c>
      <x:c r="G9" s="12" t="str">
        <x:v>SF, rent, expiry, recoveries, assignment</x:v>
      </x:c>
      <x:c r="H9" s="12" t="str">
        <x:v>Base document alone does not show later termination right.</x:v>
      </x:c>
    </x:row>
    <x:row r="10">
      <x:c r="A10" s="12" t="str">
        <x:v>07</x:v>
      </x:c>
      <x:c r="B10" s="12" t="str">
        <x:v>FreshMart Lease Amendment No. 2</x:v>
      </x:c>
      <x:c r="C10" s="14" t="n">
        <x:v>45092</x:v>
      </x:c>
      <x:c r="D10" s="12" t="str">
        <x:v>Landlord / tenant</x:v>
      </x:c>
      <x:c r="E10" s="12" t="str">
        <x:v>PDF, 5–6 pages</x:v>
      </x:c>
      <x:c r="F10" s="12" t="str">
        <x:v>Modify anchor lease</x:v>
      </x:c>
      <x:c r="G10" s="12" t="str">
        <x:v>Termination option + notice + fee</x:v>
      </x:c>
      <x:c r="H10" s="12" t="str">
        <x:v>High-priority hidden risk.</x:v>
      </x:c>
    </x:row>
    <x:row r="11">
      <x:c r="A11" s="12" t="str">
        <x:v>08</x:v>
      </x:c>
      <x:c r="B11" s="12" t="str">
        <x:v>Selected Shop-Tenant Lease Abstracts</x:v>
      </x:c>
      <x:c r="C11" s="96" t="str">
        <x:v>Various</x:v>
      </x:c>
      <x:c r="D11" s="12" t="str">
        <x:v>Bank / landlord</x:v>
      </x:c>
      <x:c r="E11" s="12" t="str">
        <x:v>PDF, 6–8 pages</x:v>
      </x:c>
      <x:c r="F11" s="12" t="str">
        <x:v>Rollover and market-rent cross-check</x:v>
      </x:c>
      <x:c r="G11" s="12" t="str">
        <x:v>Family Dental, Wireless Hub, Pressed &amp; Poured</x:v>
      </x:c>
      <x:c r="H11" s="12" t="str">
        <x:v>Family Dental date error; Wireless Hub imminent expiry; current small-shop rents.</x:v>
      </x:c>
    </x:row>
    <x:row r="12">
      <x:c r="A12" s="12" t="str">
        <x:v>09</x:v>
      </x:c>
      <x:c r="B12" s="12" t="str">
        <x:v>Appraisal</x:v>
      </x:c>
      <x:c r="C12" s="14" t="n">
        <x:v>45767</x:v>
      </x:c>
      <x:c r="D12" s="12" t="str">
        <x:v>Third-party MAI appraiser</x:v>
      </x:c>
      <x:c r="E12" s="12" t="str">
        <x:v>PDF, 60–80 pages</x:v>
      </x:c>
      <x:c r="F12" s="12" t="str">
        <x:v>Collateral valuation</x:v>
      </x:c>
      <x:c r="G12" s="12" t="str">
        <x:v>$20.4MM value, 95% occupancy, $30.50 shop market rent</x:v>
      </x:c>
      <x:c r="H12" s="12" t="str">
        <x:v>Stale; anchor option not economically modeled.</x:v>
      </x:c>
    </x:row>
    <x:row r="13">
      <x:c r="A13" s="12" t="str">
        <x:v>10</x:v>
      </x:c>
      <x:c r="B13" s="12" t="str">
        <x:v>Existing Loan Agreement + Selected Exhibits</x:v>
      </x:c>
      <x:c r="C13" s="14" t="n">
        <x:v>44469</x:v>
      </x:c>
      <x:c r="D13" s="12" t="str">
        <x:v>Lender / borrower</x:v>
      </x:c>
      <x:c r="E13" s="12" t="str">
        <x:v>PDF, 35–50 pages</x:v>
      </x:c>
      <x:c r="F13" s="12" t="str">
        <x:v>Legal loan terms and covenant definitions</x:v>
      </x:c>
      <x:c r="G13" s="12" t="str">
        <x:v>DSCR 1.25x, permitted debt, reporting</x:v>
      </x:c>
      <x:c r="H13" s="12" t="str">
        <x:v>Controls covenant definitions.</x:v>
      </x:c>
    </x:row>
    <x:row r="14">
      <x:c r="A14" s="12" t="str">
        <x:v>11</x:v>
      </x:c>
      <x:c r="B14" s="12" t="str">
        <x:v>Q2 / TTM 2026 Compliance Certificate</x:v>
      </x:c>
      <x:c r="C14" s="14" t="n">
        <x:v>46265</x:v>
      </x:c>
      <x:c r="D14" s="12" t="str">
        <x:v>Borrower</x:v>
      </x:c>
      <x:c r="E14" s="12" t="str">
        <x:v>PDF, 3–4 pages</x:v>
      </x:c>
      <x:c r="F14" s="12" t="str">
        <x:v>Borrower certification</x:v>
      </x:c>
      <x:c r="G14" s="12" t="str">
        <x:v>Reported NOI, adjustments, DSCR</x:v>
      </x:c>
      <x:c r="H14" s="12" t="str">
        <x:v>Adds back $85K + annualizes $40K, yielding pass.</x:v>
      </x:c>
    </x:row>
    <x:row r="15">
      <x:c r="A15" s="12" t="str">
        <x:v>12</x:v>
      </x:c>
      <x:c r="B15" s="12" t="str">
        <x:v>Bank Renewal / Credit Memo</x:v>
      </x:c>
      <x:c r="C15" s="14" t="n">
        <x:v>46285</x:v>
      </x:c>
      <x:c r="D15" s="12" t="str">
        <x:v>Bank analyst</x:v>
      </x:c>
      <x:c r="E15" s="12" t="str">
        <x:v>PDF, 8–12 pages</x:v>
      </x:c>
      <x:c r="F15" s="12" t="str">
        <x:v>Decision-ready underwriting packet</x:v>
      </x:c>
      <x:c r="G15" s="12" t="str">
        <x:v>Trends, covenant analysis, collateral, guarantor, recommendation</x:v>
      </x:c>
      <x:c r="H15" s="12" t="str">
        <x:v>Should reflect Eridant outputs but remain human-owned.</x:v>
      </x:c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40" hidden="0" customWidth="1"/>
    <x:col min="4" max="4" width="30" hidden="0" customWidth="1"/>
    <x:col min="5" max="5" width="42" hidden="0" customWidth="1"/>
    <x:col min="6" max="6" width="42" hidden="0" customWidth="1"/>
    <x:col min="7" max="7" width="54" hidden="0" customWidth="1"/>
    <x:col min="8" max="8" width="60" hidden="0" customWidth="1"/>
  </x:cols>
  <x:sheetData>
    <x:row r="1" ht="28" customHeight="1">
      <x:c r="A1" s="5" t="str">
        <x:v>Canonical Fact Crosswalk — Ground Truth to Document Appearances</x:v>
      </x:c>
      <x:c r="B1" s="5"/>
      <x:c r="C1" s="5"/>
      <x:c r="D1" s="5"/>
      <x:c r="E1" s="5"/>
      <x:c r="F1" s="5"/>
      <x:c r="G1" s="5"/>
      <x:c r="H1" s="5"/>
    </x:row>
    <x:row r="3">
      <x:c r="A3" s="27" t="str">
        <x:v>Fact ID</x:v>
      </x:c>
      <x:c r="B3" s="27" t="str">
        <x:v>Domain</x:v>
      </x:c>
      <x:c r="C3" s="27" t="str">
        <x:v>Canonical Fact</x:v>
      </x:c>
      <x:c r="D3" s="27" t="str">
        <x:v>Canonical Value</x:v>
      </x:c>
      <x:c r="E3" s="27" t="str">
        <x:v>Primary Authority</x:v>
      </x:c>
      <x:c r="F3" s="27" t="str">
        <x:v>Appears In</x:v>
      </x:c>
      <x:c r="G3" s="27" t="str">
        <x:v>Known Alternate / Stale Representation</x:v>
      </x:c>
      <x:c r="H3" s="27" t="str">
        <x:v>Expected Resolution</x:v>
      </x:c>
    </x:row>
    <x:row r="4">
      <x:c r="A4" s="12" t="str">
        <x:v>F-PROP-001</x:v>
      </x:c>
      <x:c r="B4" s="12" t="str">
        <x:v>Property</x:v>
      </x:c>
      <x:c r="C4" s="12" t="str">
        <x:v>Gross leasable area</x:v>
      </x:c>
      <x:c r="D4" s="12" t="str">
        <x:v>96,400 SF</x:v>
      </x:c>
      <x:c r="E4" s="12" t="str">
        <x:v>Current rent roll + lease reconciliation</x:v>
      </x:c>
      <x:c r="F4" s="12" t="str">
        <x:v>Rent Roll; Appraisal; Credit Memo</x:v>
      </x:c>
      <x:c r="G4" s="12" t="str">
        <x:v>Appraisal may round differently in narrative</x:v>
      </x:c>
      <x:c r="H4" s="12" t="str">
        <x:v>Use 96,400 SF if lease/rent-roll reconciliation confirms.</x:v>
      </x:c>
    </x:row>
    <x:row r="5">
      <x:c r="A5" s="12" t="str">
        <x:v>F-PROP-003</x:v>
      </x:c>
      <x:c r="B5" s="12" t="str">
        <x:v>Property</x:v>
      </x:c>
      <x:c r="C5" s="12" t="str">
        <x:v>Current physical occupancy</x:v>
      </x:c>
      <x:c r="D5" s="12" t="str">
        <x:v>92.12%</x:v>
      </x:c>
      <x:c r="E5" s="12" t="str">
        <x:v>8/31/26 current rent roll</x:v>
      </x:c>
      <x:c r="F5" s="12" t="str">
        <x:v>Rent Roll; Renewal Memo</x:v>
      </x:c>
      <x:c r="G5" s="12" t="str">
        <x:v>Appraisal uses 95% stabilized occupancy</x:v>
      </x:c>
      <x:c r="H5" s="12" t="str">
        <x:v>Date-contextualize; do not call appraisal 'wrong'.</x:v>
      </x:c>
    </x:row>
    <x:row r="6">
      <x:c r="A6" s="12" t="str">
        <x:v>F-TEN-001</x:v>
      </x:c>
      <x:c r="B6" s="12" t="str">
        <x:v>Tenant</x:v>
      </x:c>
      <x:c r="C6" s="12" t="str">
        <x:v>Anchor legal tenant</x:v>
      </x:c>
      <x:c r="D6" s="12" t="str">
        <x:v>FM Retail Operations, LLC</x:v>
      </x:c>
      <x:c r="E6" s="12" t="str">
        <x:v>Executed lease</x:v>
      </x:c>
      <x:c r="F6" s="12" t="str">
        <x:v>Lease; Amendment; Rent Roll; Appraisal</x:v>
      </x:c>
      <x:c r="G6" s="12" t="str">
        <x:v>FreshMart Market DBA on rent roll</x:v>
      </x:c>
      <x:c r="H6" s="12" t="str">
        <x:v>Entity resolve.</x:v>
      </x:c>
    </x:row>
    <x:row r="7">
      <x:c r="A7" s="12" t="str">
        <x:v>F-LEASE-001</x:v>
      </x:c>
      <x:c r="B7" s="12" t="str">
        <x:v>Lease</x:v>
      </x:c>
      <x:c r="C7" s="12" t="str">
        <x:v>Anchor economic lease horizon</x:v>
      </x:c>
      <x:c r="D7" s="12" t="str">
        <x:v>12/31/2029 termination date exposure</x:v>
      </x:c>
      <x:c r="E7" s="12" t="str">
        <x:v>Lease Amendment No. 2</x:v>
      </x:c>
      <x:c r="F7" s="12" t="str">
        <x:v>Amendment; Renewal Memo</x:v>
      </x:c>
      <x:c r="G7" s="12" t="str">
        <x:v>Rent roll/appraisal show stated expiry 12/31/2033</x:v>
      </x:c>
      <x:c r="H7" s="12" t="str">
        <x:v>Preserve both stated expiry and termination option; risk analysis uses 2029 exposure.</x:v>
      </x:c>
    </x:row>
    <x:row r="8">
      <x:c r="A8" s="12" t="str">
        <x:v>F-LEASE-007</x:v>
      </x:c>
      <x:c r="B8" s="12" t="str">
        <x:v>Lease</x:v>
      </x:c>
      <x:c r="C8" s="12" t="str">
        <x:v>Family Dental contractual expiration</x:v>
      </x:c>
      <x:c r="D8" s="12" t="str">
        <x:v>12/31/2027</x:v>
      </x:c>
      <x:c r="E8" s="12" t="str">
        <x:v>Executed lease + amendment review</x:v>
      </x:c>
      <x:c r="F8" s="12" t="str">
        <x:v>Lease abstract; Rent Roll</x:v>
      </x:c>
      <x:c r="G8" s="12" t="str">
        <x:v>Rent roll says 12/31/2028</x:v>
      </x:c>
      <x:c r="H8" s="12" t="str">
        <x:v>Lease controls.</x:v>
      </x:c>
    </x:row>
    <x:row r="9">
      <x:c r="A9" s="12" t="str">
        <x:v>F-LEASE-016</x:v>
      </x:c>
      <x:c r="B9" s="12" t="str">
        <x:v>Lease</x:v>
      </x:c>
      <x:c r="C9" s="12" t="str">
        <x:v>Pressed &amp; Poured current rent</x:v>
      </x:c>
      <x:c r="D9" s="12" t="str">
        <x:v>$40.00/SF</x:v>
      </x:c>
      <x:c r="E9" s="12" t="str">
        <x:v>Executed lease + commencement letter</x:v>
      </x:c>
      <x:c r="F9" s="12" t="str">
        <x:v>Lease abstract; Rent Roll</x:v>
      </x:c>
      <x:c r="G9" s="12" t="str">
        <x:v>Appraisal older assumption $38/SF</x:v>
      </x:c>
      <x:c r="H9" s="12" t="str">
        <x:v>Current lease controls current contractual rent.</x:v>
      </x:c>
    </x:row>
    <x:row r="10">
      <x:c r="A10" s="12" t="str">
        <x:v>F-OPS-001</x:v>
      </x:c>
      <x:c r="B10" s="12" t="str">
        <x:v>Operations</x:v>
      </x:c>
      <x:c r="C10" s="12" t="str">
        <x:v>TTM Aug-2026 NOI</x:v>
      </x:c>
      <x:c r="D10" s="12" t="str">
        <x:v>$1,635,000</x:v>
      </x:c>
      <x:c r="E10" s="12" t="str">
        <x:v>TTM operating statement</x:v>
      </x:c>
      <x:c r="F10" s="12" t="str">
        <x:v>Operating Statement; SPE FS; Covenant Calc</x:v>
      </x:c>
      <x:c r="G10" s="12" t="str">
        <x:v>Appraisal stabilized NOI $1,625,000</x:v>
      </x:c>
      <x:c r="H10" s="12" t="str">
        <x:v>Different definitions/dates; label precisely.</x:v>
      </x:c>
    </x:row>
    <x:row r="11">
      <x:c r="A11" s="12" t="str">
        <x:v>F-OPS-002</x:v>
      </x:c>
      <x:c r="B11" s="12" t="str">
        <x:v>Operations</x:v>
      </x:c>
      <x:c r="C11" s="12" t="str">
        <x:v>TTM CAM reimbursements</x:v>
      </x:c>
      <x:c r="D11" s="12" t="str">
        <x:v>$625,000</x:v>
      </x:c>
      <x:c r="E11" s="12" t="str">
        <x:v>TTM operating statement</x:v>
      </x:c>
      <x:c r="F11" s="12" t="str">
        <x:v>Operating Statement; Covenant Calc</x:v>
      </x:c>
      <x:c r="G11" s="12" t="str">
        <x:v>Lease-based theoretical amount higher</x:v>
      </x:c>
      <x:c r="H11" s="12" t="str">
        <x:v>Investigate recoverability/collections; no simple source overwrite.</x:v>
      </x:c>
    </x:row>
    <x:row r="12">
      <x:c r="A12" s="12" t="str">
        <x:v>F-DEBT-001</x:v>
      </x:c>
      <x:c r="B12" s="12" t="str">
        <x:v>Debt</x:v>
      </x:c>
      <x:c r="C12" s="12" t="str">
        <x:v>Mortgage balance</x:v>
      </x:c>
      <x:c r="D12" s="12" t="str">
        <x:v>$11,120,000 at 8/31/26</x:v>
      </x:c>
      <x:c r="E12" s="12" t="str">
        <x:v>Current servicer / SPE BS pending payoff</x:v>
      </x:c>
      <x:c r="F12" s="12" t="str">
        <x:v>SPE FS; Debt Schedule</x:v>
      </x:c>
      <x:c r="G12" s="12" t="str">
        <x:v>Debt schedule $11,205,000 at 6/30/26</x:v>
      </x:c>
      <x:c r="H12" s="12" t="str">
        <x:v>Normalize date; benign.</x:v>
      </x:c>
    </x:row>
    <x:row r="13">
      <x:c r="A13" s="12" t="str">
        <x:v>F-DEBT-002</x:v>
      </x:c>
      <x:c r="B13" s="12" t="str">
        <x:v>Debt</x:v>
      </x:c>
      <x:c r="C13" s="12" t="str">
        <x:v>Affiliate note</x:v>
      </x:c>
      <x:c r="D13" s="12" t="str">
        <x:v>$550,000</x:v>
      </x:c>
      <x:c r="E13" s="12" t="str">
        <x:v>SPE balance sheet + note</x:v>
      </x:c>
      <x:c r="F13" s="12" t="str">
        <x:v>SPE FS; maybe footnote</x:v>
      </x:c>
      <x:c r="G13" s="12" t="str">
        <x:v>Absent from borrower debt schedule</x:v>
      </x:c>
      <x:c r="H13" s="12" t="str">
        <x:v>Flag omission and permitted-debt issue.</x:v>
      </x:c>
    </x:row>
    <x:row r="14">
      <x:c r="A14" s="12" t="str">
        <x:v>F-APP-001</x:v>
      </x:c>
      <x:c r="B14" s="12" t="str">
        <x:v>Appraisal</x:v>
      </x:c>
      <x:c r="C14" s="12" t="str">
        <x:v>Historical appraised value</x:v>
      </x:c>
      <x:c r="D14" s="12" t="str">
        <x:v>$20,400,000 as of 3/31/25</x:v>
      </x:c>
      <x:c r="E14" s="12" t="str">
        <x:v>Signed appraisal</x:v>
      </x:c>
      <x:c r="F14" s="12" t="str">
        <x:v>Appraisal; Renewal Memo</x:v>
      </x:c>
      <x:c r="G14" s="12" t="str">
        <x:v>Borrower may quote as current value</x:v>
      </x:c>
      <x:c r="H14" s="12" t="str">
        <x:v>Always carry effective date.</x:v>
      </x:c>
    </x:row>
    <x:row r="15">
      <x:c r="A15" s="12" t="str">
        <x:v>F-APP-004</x:v>
      </x:c>
      <x:c r="B15" s="12" t="str">
        <x:v>Appraisal</x:v>
      </x:c>
      <x:c r="C15" s="12" t="str">
        <x:v>Shop market rent assumption</x:v>
      </x:c>
      <x:c r="D15" s="12" t="str">
        <x:v>$30.50/SF as of 3/31/25</x:v>
      </x:c>
      <x:c r="E15" s="12" t="str">
        <x:v>Signed appraisal</x:v>
      </x:c>
      <x:c r="F15" s="12" t="str">
        <x:v>Appraisal</x:v>
      </x:c>
      <x:c r="G15" s="12" t="str">
        <x:v>Recent in-file leases suggest softer economics</x:v>
      </x:c>
      <x:c r="H15" s="12" t="str">
        <x:v>Treat as stale underwriting assumption / sensitivity.</x:v>
      </x:c>
    </x:row>
    <x:row r="16">
      <x:c r="A16" s="12" t="str">
        <x:v>F-COV-001</x:v>
      </x:c>
      <x:c r="B16" s="12" t="str">
        <x:v>Covenant</x:v>
      </x:c>
      <x:c r="C16" s="12" t="str">
        <x:v>Minimum DSCR</x:v>
      </x:c>
      <x:c r="D16" s="12" t="str">
        <x:v>1.25x</x:v>
      </x:c>
      <x:c r="E16" s="12" t="str">
        <x:v>Executed loan agreement</x:v>
      </x:c>
      <x:c r="F16" s="12" t="str">
        <x:v>Loan Agreement; Compliance Cert</x:v>
      </x:c>
      <x:c r="G16" s="12" t="str">
        <x:v>None</x:v>
      </x:c>
      <x:c r="H16" s="12" t="str">
        <x:v>Legal definition controls.</x:v>
      </x:c>
    </x:row>
    <x:row r="17">
      <x:c r="A17" s="12" t="str">
        <x:v>F-COV-003</x:v>
      </x:c>
      <x:c r="B17" s="12" t="str">
        <x:v>Covenant</x:v>
      </x:c>
      <x:c r="C17" s="12" t="str">
        <x:v>Roof/HVAC add-back eligibility</x:v>
      </x:c>
      <x:c r="D17" s="12" t="str">
        <x:v>Not permitted absent lender approval</x:v>
      </x:c>
      <x:c r="E17" s="12" t="str">
        <x:v>Loan agreement definition / lender approval record</x:v>
      </x:c>
      <x:c r="F17" s="12" t="str">
        <x:v>Compliance Cert; Covenant Calc</x:v>
      </x:c>
      <x:c r="G17" s="12" t="str">
        <x:v>Borrower adds back $85K</x:v>
      </x:c>
      <x:c r="H17" s="12" t="str">
        <x:v>Present as judgment/approval issue; canonical model assumes no approval.</x:v>
      </x:c>
    </x:row>
    <x:row r="18">
      <x:c r="A18" s="12" t="str">
        <x:v>F-COV-004</x:v>
      </x:c>
      <x:c r="B18" s="12" t="str">
        <x:v>Covenant</x:v>
      </x:c>
      <x:c r="C18" s="12" t="str">
        <x:v>Lender-defined DSCR</x:v>
      </x:c>
      <x:c r="D18" s="12" t="str">
        <x:v>~1.24x</x:v>
      </x:c>
      <x:c r="E18" s="12" t="str">
        <x:v>Independent calculation under loan definition</x:v>
      </x:c>
      <x:c r="F18" s="12" t="str">
        <x:v>Covenant Calc; Renewal Memo</x:v>
      </x:c>
      <x:c r="G18" s="12" t="str">
        <x:v>Borrower certificate ~1.34x</x:v>
      </x:c>
      <x:c r="H18" s="12" t="str">
        <x:v>Escalate potential shortfall; human lender determines waiver/default consequences.</x:v>
      </x:c>
    </x:row>
    <x:row r="19">
      <x:c r="A19" s="12" t="str">
        <x:v>F-RISK-001</x:v>
      </x:c>
      <x:c r="B19" s="12" t="str">
        <x:v>Risk synthesis</x:v>
      </x:c>
      <x:c r="C19" s="12" t="str">
        <x:v>Longitudinal deterioration</x:v>
      </x:c>
      <x:c r="D19" s="12" t="str">
        <x:v>NOI down from $2.024MM (2023) to $1.635MM TTM; occupancy 96.5% to 92.12%</x:v>
      </x:c>
      <x:c r="E19" s="12" t="str">
        <x:v>Consistent operating/rent-roll series</x:v>
      </x:c>
      <x:c r="F19" s="12" t="str">
        <x:v>Operating History; Rent Rolls; Renewal Memo</x:v>
      </x:c>
      <x:c r="G19" s="12" t="str">
        <x:v>No single source states full hypothesis</x:v>
      </x:c>
      <x:c r="H19" s="12" t="str">
        <x:v>Synthesize trend with lease and covenant risks.</x:v>
      </x:c>
    </x:row>
  </x:sheetData>
  <x:mergeCells>
    <x:mergeCell ref="A1:H1"/>
  </x:mergeCells>
  <x:pageMargins left="0.7" right="0.7" top="0.75" bottom="0.75" header="0.3" footer="0.3"/>
</x:worksheet>
</file>